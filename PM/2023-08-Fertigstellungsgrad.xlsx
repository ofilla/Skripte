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hidePivotFieldList="1"/>
  <mc:AlternateContent xmlns:mc="http://schemas.openxmlformats.org/markup-compatibility/2006">
    <mc:Choice Requires="x15">
      <x15ac:absPath xmlns:x15ac="http://schemas.microsoft.com/office/spreadsheetml/2010/11/ac" url="C:\Users\info\Desktop\PM (IHK) 2023-01\"/>
    </mc:Choice>
  </mc:AlternateContent>
  <xr:revisionPtr revIDLastSave="0" documentId="13_ncr:1_{A8CE99F7-98A6-4F27-BB52-0B8846E2E305}" xr6:coauthVersionLast="47" xr6:coauthVersionMax="47" xr10:uidLastSave="{00000000-0000-0000-0000-000000000000}"/>
  <bookViews>
    <workbookView xWindow="-103" yWindow="-103" windowWidth="19543" windowHeight="12497" tabRatio="500" xr2:uid="{00000000-000D-0000-FFFF-FFFF00000000}"/>
  </bookViews>
  <sheets>
    <sheet name="Fertigstellungsgrad" sheetId="4" r:id="rId1"/>
    <sheet name="Source" sheetId="2" state="hidden" r:id="rId2"/>
  </sheets>
  <definedNames>
    <definedName name="_xlnm.Print_Area" localSheetId="0">Fertigstellungsgrad!$A$1:$H$51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 i="4" l="1"/>
  <c r="H5" i="4"/>
  <c r="H4" i="4"/>
  <c r="C4" i="4"/>
  <c r="E7" i="4"/>
  <c r="E6" i="4"/>
  <c r="E5" i="4"/>
  <c r="E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Blue-Square</author>
  </authors>
  <commentList>
    <comment ref="D10" authorId="0" shapeId="0" xr:uid="{2EC4B7E8-B258-4109-85BC-3CC655D12432}">
      <text>
        <r>
          <rPr>
            <b/>
            <sz val="9"/>
            <color indexed="81"/>
            <rFont val="Segoe UI"/>
            <family val="2"/>
          </rPr>
          <t>Wer aus dem Team ist verantwortlich ?</t>
        </r>
      </text>
    </comment>
    <comment ref="E10" authorId="0" shapeId="0" xr:uid="{85F00787-82AB-4824-A061-C215A855A217}">
      <text>
        <r>
          <rPr>
            <b/>
            <sz val="9"/>
            <color indexed="81"/>
            <rFont val="Segoe UI"/>
            <family val="2"/>
          </rPr>
          <t>Sie können hier auswählen zwischen:
- Hoch
- Mittel
- Niedrig</t>
        </r>
      </text>
    </comment>
    <comment ref="F10" authorId="0" shapeId="0" xr:uid="{F0838721-D0A2-4E99-8AAF-5DA81EC1B9A7}">
      <text>
        <r>
          <rPr>
            <b/>
            <sz val="9"/>
            <color indexed="81"/>
            <rFont val="Segoe UI"/>
            <family val="2"/>
          </rPr>
          <t>Sie können auswählen zwischen:
- 0%
- 25%
- 50%
- 75%
- 100%</t>
        </r>
      </text>
    </comment>
    <comment ref="G10" authorId="0" shapeId="0" xr:uid="{77266E24-259E-43DC-8FA4-586B6C172E85}">
      <text>
        <r>
          <rPr>
            <b/>
            <sz val="10"/>
            <color indexed="81"/>
            <rFont val="Arial"/>
            <family val="2"/>
          </rPr>
          <t>Sie können hier auswählen zwischen:
- Offen
- in Arbeit
- Wartend
- Erledigt</t>
        </r>
      </text>
    </comment>
    <comment ref="C11" authorId="0" shapeId="0" xr:uid="{7D4146C6-BAC7-42AC-BFC7-A9EEEAF25233}">
      <text>
        <r>
          <rPr>
            <b/>
            <sz val="10"/>
            <color indexed="81"/>
            <rFont val="Arial"/>
            <family val="2"/>
          </rPr>
          <t>-Titelseite bitte anpassen: Projektname, eigenes Titelbild, Namen der Teammitglieder. IHK und Datum des Zertifikatsworkshops
- Fußzeile bitte anpassen.</t>
        </r>
      </text>
    </comment>
    <comment ref="C12" authorId="0" shapeId="0" xr:uid="{1AC58231-69F8-4840-89DF-02CC5322159D}">
      <text>
        <r>
          <rPr>
            <b/>
            <sz val="10"/>
            <color indexed="81"/>
            <rFont val="Arial"/>
            <family val="2"/>
          </rPr>
          <t>"Dokumentation und Präsentation (Seite 44) entfällt entfallen</t>
        </r>
      </text>
    </comment>
    <comment ref="C13" authorId="0" shapeId="0" xr:uid="{1149C7BB-9F9A-4804-918D-FEB47F6179FA}">
      <text>
        <r>
          <rPr>
            <b/>
            <sz val="10"/>
            <color indexed="81"/>
            <rFont val="Arial"/>
            <family val="2"/>
          </rPr>
          <t>Impressum kann entfallen.</t>
        </r>
      </text>
    </comment>
    <comment ref="C14" authorId="0" shapeId="0" xr:uid="{708805E4-091C-4AA0-AEB0-1B6357BF572E}">
      <text>
        <r>
          <rPr>
            <b/>
            <sz val="10"/>
            <color indexed="81"/>
            <rFont val="Arial"/>
            <family val="2"/>
          </rPr>
          <t>Aufgabentexte zu den Übungen bitte in Antworten umformulieren: Einleitender Text zur Aufgabe.</t>
        </r>
      </text>
    </comment>
    <comment ref="C15" authorId="0" shapeId="0" xr:uid="{01857C59-D969-4612-8005-AED6EAE0549A}">
      <text>
        <r>
          <rPr>
            <b/>
            <sz val="10"/>
            <color indexed="81"/>
            <rFont val="Arial"/>
            <family val="2"/>
          </rPr>
          <t>Alle Grafiken und Tabellen bitte beschriften, z.B.: Abbildung 1: …….. oder Tabelle 1: .....</t>
        </r>
      </text>
    </comment>
    <comment ref="C16" authorId="0" shapeId="0" xr:uid="{04A0841F-5484-4A9A-8712-8A2F14C1063A}">
      <text>
        <r>
          <rPr>
            <b/>
            <sz val="10"/>
            <color indexed="81"/>
            <rFont val="Arial"/>
            <family val="2"/>
          </rPr>
          <t>Die Tabelle zu den eigenen Idee entfällt.</t>
        </r>
      </text>
    </comment>
    <comment ref="C17" authorId="0" shapeId="0" xr:uid="{5F060B7F-A01D-4AAD-8E3F-05C3C7986B1B}">
      <text>
        <r>
          <rPr>
            <b/>
            <sz val="10"/>
            <color indexed="81"/>
            <rFont val="Arial"/>
            <family val="2"/>
          </rPr>
          <t>Hier bitte die gemeinsam erarbeiteten Ergebnisse notieren. (Liste; Matrix; Teamauswahl)</t>
        </r>
      </text>
    </comment>
    <comment ref="C18" authorId="0" shapeId="0" xr:uid="{E5136054-9CAC-4BA1-AE02-A2223D918C06}">
      <text>
        <r>
          <rPr>
            <b/>
            <sz val="10"/>
            <color indexed="81"/>
            <rFont val="Arial"/>
            <family val="2"/>
          </rPr>
          <t>- Den Ist-Zustand (Bedarf) können Sie stichpunktartig darstellen.
- Beim Soll-Zustand können Sie noch recht allgemein bleiben.</t>
        </r>
      </text>
    </comment>
    <comment ref="C19" authorId="0" shapeId="0" xr:uid="{953A1212-4491-4F64-B284-3CF13B2A4904}">
      <text>
        <r>
          <rPr>
            <b/>
            <sz val="10"/>
            <color indexed="81"/>
            <rFont val="Arial"/>
            <family val="2"/>
          </rPr>
          <t xml:space="preserve">Projektprüfung:
- Hier geht es darum zu prüfen, ob das Vorhaben für das Unternehmen ein Projekt ist.
- Es müssen hier noch keine konkreten Angaben gemacht werden (methodische Prüfung).
Projektart:
- Bei der Beschreibung geht es nur darum, die Analyse in Worte zu fassen.
</t>
        </r>
      </text>
    </comment>
    <comment ref="C20" authorId="0" shapeId="0" xr:uid="{DEDFA87B-A340-48F7-A525-81F1065DDBB5}">
      <text>
        <r>
          <rPr>
            <b/>
            <sz val="10"/>
            <color indexed="81"/>
            <rFont val="Arial"/>
            <family val="2"/>
          </rPr>
          <t>- Dokumentieren Sie bitte den Stand (Projektmatrix, Review und Retrospektive) nach der ersten Woche.</t>
        </r>
      </text>
    </comment>
    <comment ref="C21" authorId="0" shapeId="0" xr:uid="{A139E74F-30CB-4216-AFE4-C32E48471FBE}">
      <text>
        <r>
          <rPr>
            <b/>
            <sz val="10"/>
            <color indexed="81"/>
            <rFont val="Arial"/>
            <family val="2"/>
          </rPr>
          <t>- Hier handelt es sich noch nicht um den endgültigen Projektauftrag.</t>
        </r>
      </text>
    </comment>
    <comment ref="C22" authorId="0" shapeId="0" xr:uid="{D63E44CB-1D62-4DCA-929A-16C69E48EA60}">
      <text>
        <r>
          <rPr>
            <b/>
            <sz val="10"/>
            <color indexed="81"/>
            <rFont val="Arial"/>
            <family val="2"/>
          </rPr>
          <t>- Hier bitte nur die Punkte notieren, die Ihnen der Auftraggeber mitgeteilt hat (Lastenheft 1).</t>
        </r>
      </text>
    </comment>
    <comment ref="C23" authorId="0" shapeId="0" xr:uid="{C0D1137C-CE82-4194-8B34-88EC5D29460A}">
      <text>
        <r>
          <rPr>
            <b/>
            <sz val="10"/>
            <color indexed="81"/>
            <rFont val="Arial"/>
            <family val="2"/>
          </rPr>
          <t xml:space="preserve">- Orientieren Sie sich bitte an den Hinweisen in der Fallstudie.
- Punkte 9 und 10: Bitte später (nach dem 3. bzw. nach dem 4. Präsenztag) auf die jeweiligen Kapitel in Ihrer Dokumentation verweisen.
</t>
        </r>
      </text>
    </comment>
    <comment ref="C24" authorId="0" shapeId="0" xr:uid="{48B69CB4-EFF8-4617-897C-79DA8183BC8D}">
      <text>
        <r>
          <rPr>
            <b/>
            <sz val="10"/>
            <color indexed="81"/>
            <rFont val="Arial"/>
            <family val="2"/>
          </rPr>
          <t>- Diese erste Übersicht können Sie im Laufe der Planung zur Fallstudie auch noch ergänzen.</t>
        </r>
      </text>
    </comment>
    <comment ref="C25" authorId="0" shapeId="0" xr:uid="{89196C43-3431-41C9-A43E-CF9DD6115887}">
      <text>
        <r>
          <rPr>
            <b/>
            <sz val="10"/>
            <color indexed="81"/>
            <rFont val="Arial"/>
            <family val="2"/>
          </rPr>
          <t>Formaler Projektauftrag:
- Projektende: Wenn sie ein internes Projektteam sind, tragen Sie dort das Ende der Steuerungsphase und das Ende der Abschlussphase ein. Sind sie ein externes Team bitte nur das Ende der Steuerungsphase eintragen.
- Projektverträge: Wir erwarten hier keine rechtliche Expertise. Es geht nur darum grob zu beschreiben, welche vertragsrechtliche Situation sich im Projekt ergibt.</t>
        </r>
      </text>
    </comment>
    <comment ref="C26" authorId="0" shapeId="0" xr:uid="{EE7344FF-E42C-4976-AC09-3FFB8FCCC3CD}">
      <text>
        <r>
          <rPr>
            <b/>
            <sz val="10"/>
            <color indexed="81"/>
            <rFont val="Arial"/>
            <family val="2"/>
          </rPr>
          <t>- Wenn Sie ein externer Auftragnehmer sind kann es Sinn machen die Aufbauorganisation in Ihrem Unternehmen und die Aufbauorganisation beim Auftraggeber darzustellen.</t>
        </r>
      </text>
    </comment>
    <comment ref="C27" authorId="0" shapeId="0" xr:uid="{4D90A9EF-D343-4A70-875E-7B7F7846A313}">
      <text>
        <r>
          <rPr>
            <b/>
            <sz val="10"/>
            <color indexed="81"/>
            <rFont val="Arial"/>
            <family val="2"/>
          </rPr>
          <t xml:space="preserve">- Da es sich hier um eine Fallstudie handelt, ist es nicht einfach hypothetische Annahmen zu treffen.
- Wir möchten Sie dennoch bitten, erste grobe Angaben zu machen, wie Sie die Zusammenarbeit im Projektteam und extern organisieren wollen.
</t>
        </r>
      </text>
    </comment>
    <comment ref="C28" authorId="0" shapeId="0" xr:uid="{B849F562-CCEF-47F3-9C70-C691F91E9BA1}">
      <text>
        <r>
          <rPr>
            <b/>
            <sz val="10"/>
            <color indexed="81"/>
            <rFont val="Arial"/>
            <family val="2"/>
          </rPr>
          <t>Kompetenzräder:
- Sie müssen hier nicht Ihren Namen angeben.
- Ziel der Übung ist es, Teamkompetenzen darzustellen und zu interpretieren.</t>
        </r>
      </text>
    </comment>
    <comment ref="C29" authorId="0" shapeId="0" xr:uid="{D480C7CA-B3F3-4AF9-9BD8-28F86C193516}">
      <text>
        <r>
          <rPr>
            <b/>
            <sz val="10"/>
            <color indexed="81"/>
            <rFont val="Arial"/>
            <family val="2"/>
          </rPr>
          <t>- Dokumentieren Sie bitte den Stand (Projektmatrix, Review und Retrospektive) nach der zweiten Woche.</t>
        </r>
      </text>
    </comment>
    <comment ref="C30" authorId="0" shapeId="0" xr:uid="{FE31FE97-7431-4CED-8D84-2650A5998F02}">
      <text>
        <r>
          <rPr>
            <b/>
            <sz val="10"/>
            <color indexed="81"/>
            <rFont val="Arial"/>
            <family val="2"/>
          </rPr>
          <t>- Beschreiben Sie bitte in einem begleitenden Text zum PSP kurz die begleitenden Tätigkeiten.
- Dieser Hinweis wird oft übersehen, was am vierten Präsenztag zu Schwierigkeiten bei den anderen Übungen führen kann.</t>
        </r>
      </text>
    </comment>
    <comment ref="C31" authorId="0" shapeId="0" xr:uid="{058F55CB-19A9-473F-9EB8-C27D8042725D}">
      <text>
        <r>
          <rPr>
            <b/>
            <sz val="10"/>
            <color indexed="81"/>
            <rFont val="Arial"/>
            <family val="2"/>
          </rPr>
          <t>- Das Formular wird zunächst grob ausgefüllt, und später weiter vervollständigt.
- Das ist für den einen oder anderen durchaus ungewohnt.</t>
        </r>
      </text>
    </comment>
    <comment ref="C32" authorId="0" shapeId="0" xr:uid="{9BCA0C7B-42F2-452C-AE11-ECB3606544A5}">
      <text>
        <r>
          <rPr>
            <b/>
            <sz val="10"/>
            <color indexed="81"/>
            <rFont val="Arial"/>
            <family val="2"/>
          </rPr>
          <t xml:space="preserve">- Bitte vergessen Sie nicht in der Spalte "Dauer" die Größe "Tage", "Wochen", "Monate" anzugeben.
</t>
        </r>
      </text>
    </comment>
    <comment ref="C33" authorId="0" shapeId="0" xr:uid="{5BE9FDF8-F0D9-4379-9CDA-7675F277F6FD}">
      <text>
        <r>
          <rPr>
            <b/>
            <sz val="10"/>
            <color indexed="81"/>
            <rFont val="Arial"/>
            <family val="2"/>
          </rPr>
          <t>- Es bietet sich hier die PPTX-Vorlage an, da Sie diese dann später auch für Ihre Präsentation verwenden können.</t>
        </r>
      </text>
    </comment>
    <comment ref="C34" authorId="0" shapeId="0" xr:uid="{839F245A-83DE-4486-8CE8-35861B241888}">
      <text>
        <r>
          <rPr>
            <b/>
            <sz val="10"/>
            <color indexed="81"/>
            <rFont val="Arial"/>
            <family val="2"/>
          </rPr>
          <t>- Gerne können Sie den Balkenplan/VKN in ProjectLibre eingeben.
- http://www.projectlibre.de/
- Sie finden dazu auch eine Vorlage auf der Lernplattform.</t>
        </r>
      </text>
    </comment>
    <comment ref="C35" authorId="0" shapeId="0" xr:uid="{108750D0-076B-422A-8490-41A771E41953}">
      <text>
        <r>
          <rPr>
            <b/>
            <sz val="10"/>
            <color indexed="81"/>
            <rFont val="Arial"/>
            <family val="2"/>
          </rPr>
          <t>- Dokumentieren Sie bitte den Stand (Projektmatrix, Review und Retrospektive) nach der dritten Woche.</t>
        </r>
      </text>
    </comment>
    <comment ref="C36" authorId="0" shapeId="0" xr:uid="{4DBE8D15-E0AA-48F1-AFCB-4D51DF0EE4E4}">
      <text>
        <r>
          <rPr>
            <b/>
            <sz val="10"/>
            <color indexed="81"/>
            <rFont val="Arial"/>
            <family val="2"/>
          </rPr>
          <t xml:space="preserve">- Wählen Sie bitte AP aus, bei denen eine QS-Maßnahme Sinn machen würde.
- Prüfen Sie, ob es schon bei den Tätigkeiten QS-Maßnahmen gibt. Wenn ja, tragen Sie diese in die vorbereitete Zeile im AP ein.
- Wann?: Die Maßnahmen sollen vor dem Ergebnis des jeweiligen AP liegen. Legen Sie den Zeitpunkt relativ zur Durchlaufzeit des AP fest.
- Wer?: Es sollte sich immer jemand aus Ihrem Team um die Maßnahme kümmern. Zusätzlich können noch Mitarbeiter und/oder Dienstleister hinzukommen.
- Es wird hier öfters vergessen, die Maßnahmen auch in das jeweilige Arbeitspaket einzutragen.
</t>
        </r>
      </text>
    </comment>
    <comment ref="C37" authorId="0" shapeId="0" xr:uid="{A2E17ABB-AA68-4DEE-9905-745E12BE0DE6}">
      <text>
        <r>
          <rPr>
            <b/>
            <sz val="10"/>
            <color indexed="81"/>
            <rFont val="Arial"/>
            <family val="2"/>
          </rPr>
          <t xml:space="preserve">- Es sollten Risiken aufgelistet sein, die jetzt noch im Projekt auftauchen können.
</t>
        </r>
      </text>
    </comment>
    <comment ref="C38" authorId="0" shapeId="0" xr:uid="{07C4AFAC-86CF-43BA-B77D-BFF0650AADCE}">
      <text>
        <r>
          <rPr>
            <b/>
            <sz val="10"/>
            <color indexed="81"/>
            <rFont val="Arial"/>
            <family val="2"/>
          </rPr>
          <t>- Vorbeugende Maßnahmen: Diese Maßnahmen sollten neu - also noch nicht vorhanden - sein. Dabei werden oft die schon vorhandenen begleitenden Maßnahmen nicht beachtet.
- Dokumentieren Sie bitte die Maßnahmen in dem genannten AP, bzw. phasenübergreifend im PSP.
- Auch das wird oft vergessen.</t>
        </r>
      </text>
    </comment>
    <comment ref="C39" authorId="0" shapeId="0" xr:uid="{CB397FAD-4F7C-4138-BE8A-3541C7F687AC}">
      <text>
        <r>
          <rPr>
            <b/>
            <sz val="10"/>
            <color indexed="81"/>
            <rFont val="Arial"/>
            <family val="2"/>
          </rPr>
          <t>- Tragen Sie im jeweiligen Arbeitspaket die PT pro Teammitglied und Mitarbeiter ein.
- Die Dienstleister werden erst später bei den Kosten berücksichtigt.
- Erfassen Sie die in den AP notierten PT pro Teammitglied und Mitarbeiter in der Datei "Ressourcenplan".
- Alternativ dazu können Sie die Datei "Arbeitspakete-Ressourcenplan-Kostenplan" verwenden. (OK?)
- In der Datei "Ressourcenplan" ist der Aufwand für die begleitenden Tätigkeiten mit 15% von der Summe aller PT der Teammitglieder hinterlegt.
- Es steht Ihnen frei, welche Grafiken Sie erstellen.</t>
        </r>
      </text>
    </comment>
    <comment ref="C40" authorId="0" shapeId="0" xr:uid="{0E2552A7-CE9E-4B69-8374-2E65AFF30B92}">
      <text>
        <r>
          <rPr>
            <b/>
            <sz val="10"/>
            <color indexed="81"/>
            <rFont val="Arial"/>
            <family val="2"/>
          </rPr>
          <t>- Verwenden Sie dazu bitte die Datei "Kostenplan".
- Alternativ dazu können Sie die Datei "Arbeitspakete-Ressourcenplan-Kostenplan" verwenden. (OK?)
- Personalkosten: Multiplizieren Sie bitte die PT mit einem fiktiven Tagessatz (300 EUR/PT).
- Sie können den vorgeschlagenen Tagessatz auch ändern.
- Kosten pro AP: Bleiben Sie auch hier grob. Wir befinden uns hier noch nicht in der Feinplanung des Projekts.
- Es steht Ihnen auch hier frei, welche Grafiken Sie erstellen.</t>
        </r>
      </text>
    </comment>
    <comment ref="C41" authorId="0" shapeId="0" xr:uid="{ADDDF29E-E1BB-4B60-821E-962F5EBEE798}">
      <text>
        <r>
          <rPr>
            <b/>
            <sz val="10"/>
            <color indexed="81"/>
            <rFont val="Arial"/>
            <family val="2"/>
          </rPr>
          <t>- Verantwortlich (V): Wer ist aus dem Team für das AP verantwortlich? Verantwortlich ist immer nur einer aus Ihrem Team.
- Durchführung (D): Tragen Sie bitte ein, wen Sie von den Teammitgliedern pro Arbeitspaket für die Durchführung benötigen. Möglich ist hier auch ein V/D.
- Mitarbeit (M): Mitarbeiter und Dienstleister.
- Information (I): Wer soll informiert werden?</t>
        </r>
      </text>
    </comment>
    <comment ref="C42" authorId="0" shapeId="0" xr:uid="{77488C32-077A-40A1-A901-7835518CB8E3}">
      <text>
        <r>
          <rPr>
            <b/>
            <sz val="10"/>
            <color indexed="81"/>
            <rFont val="Arial"/>
            <family val="2"/>
          </rPr>
          <t>- Dokumentieren Sie bitte den Stand (Projektmatrix, Review und Retrospektive) nach der vierten Woche.</t>
        </r>
      </text>
    </comment>
    <comment ref="C43" authorId="0" shapeId="0" xr:uid="{8BB1C2C7-2345-46E9-932C-77454245F6D5}">
      <text>
        <r>
          <rPr>
            <b/>
            <sz val="10"/>
            <color indexed="81"/>
            <rFont val="Arial"/>
            <family val="2"/>
          </rPr>
          <t>Review (Mindestanforderung):
- Die Fachkompetenz können Sie hier weglassen.
- Methodenkompetenz: Gehen Sie bitte auf  vier ausgewählte Methoden ein, die wir für die Fallstudie bearbeitet haben.
- Sozialkompetenz: Halten Sie bitte fest, wie die Zusammenarbeit gelaufen ist.
- Medienkompetenz: Listen Sie bitte auf, welche Medien Sie genutzt haben, und ob das jeweilige Medium geeignet war.</t>
        </r>
      </text>
    </comment>
    <comment ref="C44" authorId="0" shapeId="0" xr:uid="{9620DAEE-A487-4503-9E67-559DDE1965F8}">
      <text>
        <r>
          <rPr>
            <b/>
            <sz val="10"/>
            <color indexed="81"/>
            <rFont val="Arial"/>
            <family val="2"/>
          </rPr>
          <t>- Fassen Sie die verschiedenenn Erkenntnisse zusammen.</t>
        </r>
      </text>
    </comment>
    <comment ref="C45" authorId="0" shapeId="0" xr:uid="{C2E022CC-E722-4B64-8D69-8256303F25C7}">
      <text>
        <r>
          <rPr>
            <b/>
            <sz val="10"/>
            <color indexed="81"/>
            <rFont val="Arial"/>
            <family val="2"/>
          </rPr>
          <t>Versuchen Sie alsTeam 3 - 4 Lessons Learned zu formulieren</t>
        </r>
      </text>
    </comment>
  </commentList>
</comments>
</file>

<file path=xl/sharedStrings.xml><?xml version="1.0" encoding="utf-8"?>
<sst xmlns="http://schemas.openxmlformats.org/spreadsheetml/2006/main" count="203" uniqueCount="72">
  <si>
    <t>ID</t>
  </si>
  <si>
    <t>Status</t>
  </si>
  <si>
    <t>Prio</t>
  </si>
  <si>
    <t>Kommentar</t>
  </si>
  <si>
    <t>Verantwortlich</t>
  </si>
  <si>
    <t>Mitarbeiter</t>
  </si>
  <si>
    <t>Mitarbeiter 1</t>
  </si>
  <si>
    <t>Mitarbeiter 2</t>
  </si>
  <si>
    <t>Mitarbeiter 3</t>
  </si>
  <si>
    <t>Mitarbeiter 4</t>
  </si>
  <si>
    <t>Mitarbeiter 5</t>
  </si>
  <si>
    <t>Niedrig</t>
  </si>
  <si>
    <t>Mittel</t>
  </si>
  <si>
    <t>Hoch</t>
  </si>
  <si>
    <t>Offen</t>
  </si>
  <si>
    <t>In Arbeit</t>
  </si>
  <si>
    <t>Wartend</t>
  </si>
  <si>
    <t>Erledigt</t>
  </si>
  <si>
    <t>Mitarbeiter 6</t>
  </si>
  <si>
    <t>Fortschritt</t>
  </si>
  <si>
    <t>Prozent</t>
  </si>
  <si>
    <t>Fertigstellungsgrad der Projektdokumentation (Fallstudie) und der Präsentation</t>
  </si>
  <si>
    <t>Inhaltsverzeichnis anpassen</t>
  </si>
  <si>
    <t>1.2 Projektideen auswählen</t>
  </si>
  <si>
    <t>2.1 Kernpunkte eines möglichen Projektauftrags</t>
  </si>
  <si>
    <t>2.2 Lastenheft</t>
  </si>
  <si>
    <t>2.3 Pflichtenheft</t>
  </si>
  <si>
    <t>3.1 Projektaufbauorganisation</t>
  </si>
  <si>
    <t>3.3 Teamkompetenzen</t>
  </si>
  <si>
    <t>4.2 Arbeitspakete</t>
  </si>
  <si>
    <t>5.1 Vorgangsliste</t>
  </si>
  <si>
    <t>8.3 VDMI-Matrix</t>
  </si>
  <si>
    <t>9.1 Review</t>
  </si>
  <si>
    <t>9.3 Lessons Learned</t>
  </si>
  <si>
    <t>1.3 Erster grober Steckbrief zur Idee</t>
  </si>
  <si>
    <t>1.4 Projektprüfung und Projektart</t>
  </si>
  <si>
    <t>2.5 Formaler Projektauftrag und Verträge</t>
  </si>
  <si>
    <t>3.2 Information-, Kommunikations- und Berichtswesen</t>
  </si>
  <si>
    <t>4.1 Projektstrukturplan erstellen</t>
  </si>
  <si>
    <t>5.2 Vorgangsknoten-Netzplan (VKN)</t>
  </si>
  <si>
    <t>6.1 Qualitätssichernde Maßnahmen</t>
  </si>
  <si>
    <t>7.1 Risiken analysieren und beschreiben</t>
  </si>
  <si>
    <t>7.2 Risiken bewerten und Gegenmaßnahmen festlegen</t>
  </si>
  <si>
    <t>8.1 Ressourcenplan erstellen</t>
  </si>
  <si>
    <t>8.2 Kostenplan erstellen</t>
  </si>
  <si>
    <t>9.2 Projekterfolgsmatrix: Entwicklung der Projektarbeit</t>
  </si>
  <si>
    <t>Titelseite und Fußzeile anpassen</t>
  </si>
  <si>
    <t>Impressum</t>
  </si>
  <si>
    <t>Aufgabentexte</t>
  </si>
  <si>
    <t>Grafiken und Tabellen</t>
  </si>
  <si>
    <t>Allgemein</t>
  </si>
  <si>
    <t>1. Präsenztag</t>
  </si>
  <si>
    <t>2. Präsenztag</t>
  </si>
  <si>
    <t>3. Präsenztag</t>
  </si>
  <si>
    <t>4. Präsenztag</t>
  </si>
  <si>
    <t>5. Präsenztag</t>
  </si>
  <si>
    <t>Präsentation</t>
  </si>
  <si>
    <t>Modul-1</t>
  </si>
  <si>
    <t>Modul-2</t>
  </si>
  <si>
    <t>Modul-3</t>
  </si>
  <si>
    <t>Modul-4</t>
  </si>
  <si>
    <t>Modul-5</t>
  </si>
  <si>
    <t>Hinweise zur Dokumentation der Fallstudie</t>
  </si>
  <si>
    <t>xxx</t>
  </si>
  <si>
    <t>2. Präsenztag (Weekly)</t>
  </si>
  <si>
    <t>2.4 Stakeholderanalyse</t>
  </si>
  <si>
    <t>3. Präsenztag (Weekly)</t>
  </si>
  <si>
    <t>4. Präsenztag (Weekly)</t>
  </si>
  <si>
    <t>5. Präsenztag (Weekly)</t>
  </si>
  <si>
    <t>Wir wünschen Ihnen viel Erfolg!</t>
  </si>
  <si>
    <t>1.1 Mögliche Projektideen</t>
  </si>
  <si>
    <t>5.3 Terminplan und Kalendrierung im Balkenplan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</si>
</sst>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sz val="12"/>
      <color theme="1"/>
      <name val="Calibri"/>
      <family val="2"/>
      <scheme val="minor"/>
    </font>
    <font>
      <sz val="11"/>
      <color theme="1"/>
      <name val="Century Gothic"/>
      <family val="1"/>
    </font>
    <font>
      <sz val="10"/>
      <color theme="1"/>
      <name val="Century Gothic"/>
      <family val="1"/>
    </font>
    <font>
      <sz val="10"/>
      <color rgb="FF000000"/>
      <name val="Century Gothic"/>
      <family val="1"/>
    </font>
    <font>
      <sz val="22"/>
      <color theme="1"/>
      <name val="Century Gothic"/>
      <family val="1"/>
    </font>
    <font>
      <sz val="10"/>
      <color theme="1"/>
      <name val="Arial"/>
      <family val="2"/>
    </font>
    <font>
      <b/>
      <sz val="11"/>
      <color theme="1"/>
      <name val="Arial"/>
      <family val="2"/>
    </font>
    <font>
      <sz val="11"/>
      <color theme="1"/>
      <name val="Arial"/>
      <family val="2"/>
    </font>
    <font>
      <b/>
      <sz val="11"/>
      <color theme="0"/>
      <name val="Arial"/>
      <family val="2"/>
    </font>
    <font>
      <b/>
      <sz val="9"/>
      <color indexed="81"/>
      <name val="Segoe UI"/>
      <family val="2"/>
    </font>
    <font>
      <b/>
      <sz val="10"/>
      <color indexed="81"/>
      <name val="Arial"/>
      <family val="2"/>
    </font>
    <font>
      <sz val="12"/>
      <color theme="1"/>
      <name val="Arial"/>
      <family val="2"/>
    </font>
    <font>
      <b/>
      <sz val="10"/>
      <color theme="0"/>
      <name val="Arial"/>
      <family val="2"/>
    </font>
    <font>
      <b/>
      <sz val="9"/>
      <color theme="0"/>
      <name val="Arial"/>
      <family val="2"/>
    </font>
    <font>
      <sz val="10"/>
      <color theme="9"/>
      <name val="Century Gothic"/>
      <family val="1"/>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365F91"/>
        <bgColor indexed="64"/>
      </patternFill>
    </fill>
    <fill>
      <patternFill patternType="solid">
        <fgColor rgb="FFF2F2F2"/>
        <bgColor indexed="64"/>
      </patternFill>
    </fill>
  </fills>
  <borders count="12">
    <border>
      <left/>
      <right/>
      <top/>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0" fontId="1" fillId="0" borderId="0"/>
  </cellStyleXfs>
  <cellXfs count="63">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vertical="center"/>
    </xf>
    <xf numFmtId="0" fontId="3" fillId="0" borderId="0" xfId="0" applyFont="1" applyAlignment="1">
      <alignment vertical="center"/>
    </xf>
    <xf numFmtId="9" fontId="2" fillId="0" borderId="0" xfId="0" applyNumberFormat="1" applyFont="1" applyAlignment="1">
      <alignment horizontal="center"/>
    </xf>
    <xf numFmtId="0" fontId="2" fillId="0" borderId="0" xfId="0" applyFont="1" applyAlignment="1">
      <alignment horizontal="center" vertical="center"/>
    </xf>
    <xf numFmtId="0" fontId="6" fillId="0" borderId="0" xfId="0" applyFont="1" applyAlignment="1">
      <alignment horizontal="center" vertical="center"/>
    </xf>
    <xf numFmtId="9" fontId="6" fillId="0" borderId="0" xfId="0" applyNumberFormat="1" applyFont="1" applyAlignment="1">
      <alignment horizontal="center" vertical="center"/>
    </xf>
    <xf numFmtId="0" fontId="6" fillId="3" borderId="0" xfId="0" applyFont="1" applyFill="1" applyAlignment="1">
      <alignment horizontal="center" vertical="center"/>
    </xf>
    <xf numFmtId="0" fontId="6" fillId="0" borderId="0" xfId="0" applyFont="1"/>
    <xf numFmtId="0" fontId="12" fillId="0" borderId="0" xfId="0" applyFont="1"/>
    <xf numFmtId="9" fontId="12" fillId="0" borderId="0" xfId="0" applyNumberFormat="1" applyFont="1" applyAlignment="1">
      <alignment horizontal="center"/>
    </xf>
    <xf numFmtId="0" fontId="6" fillId="0" borderId="2" xfId="0" applyFont="1" applyBorder="1" applyAlignment="1">
      <alignment horizontal="center" vertical="center"/>
    </xf>
    <xf numFmtId="0" fontId="6" fillId="0" borderId="2" xfId="1" applyFont="1" applyBorder="1" applyAlignment="1">
      <alignment vertical="center"/>
    </xf>
    <xf numFmtId="9" fontId="6" fillId="0" borderId="2" xfId="0" applyNumberFormat="1" applyFont="1" applyBorder="1" applyAlignment="1">
      <alignment horizontal="center" vertical="center"/>
    </xf>
    <xf numFmtId="0" fontId="4" fillId="0" borderId="3" xfId="0" applyFont="1" applyBorder="1" applyAlignment="1">
      <alignment vertical="center"/>
    </xf>
    <xf numFmtId="0" fontId="6" fillId="0" borderId="0" xfId="1" applyFont="1" applyAlignment="1">
      <alignment vertical="center"/>
    </xf>
    <xf numFmtId="0" fontId="4" fillId="0" borderId="5" xfId="0" applyFont="1" applyBorder="1" applyAlignment="1">
      <alignment vertical="center"/>
    </xf>
    <xf numFmtId="0" fontId="6" fillId="0" borderId="7" xfId="0" applyFont="1" applyBorder="1" applyAlignment="1">
      <alignment horizontal="center" vertical="center"/>
    </xf>
    <xf numFmtId="0" fontId="6" fillId="0" borderId="7" xfId="1" applyFont="1" applyBorder="1" applyAlignment="1">
      <alignment vertical="center"/>
    </xf>
    <xf numFmtId="9" fontId="6" fillId="0" borderId="7" xfId="0" applyNumberFormat="1" applyFont="1" applyBorder="1" applyAlignment="1">
      <alignment horizontal="center" vertical="center"/>
    </xf>
    <xf numFmtId="0" fontId="4" fillId="0" borderId="8" xfId="0" applyFont="1" applyBorder="1" applyAlignment="1">
      <alignment vertical="center"/>
    </xf>
    <xf numFmtId="0" fontId="6" fillId="3" borderId="7" xfId="0" applyFont="1" applyFill="1" applyBorder="1" applyAlignment="1">
      <alignment horizontal="center" vertical="center"/>
    </xf>
    <xf numFmtId="0" fontId="15" fillId="3" borderId="3" xfId="0" applyFont="1" applyFill="1" applyBorder="1" applyAlignment="1">
      <alignment vertical="center"/>
    </xf>
    <xf numFmtId="0" fontId="6" fillId="0" borderId="2" xfId="1" applyFont="1" applyBorder="1" applyAlignment="1">
      <alignment horizontal="left" vertical="center"/>
    </xf>
    <xf numFmtId="0" fontId="6" fillId="3" borderId="2" xfId="0" applyFont="1" applyFill="1" applyBorder="1" applyAlignment="1">
      <alignment horizontal="center" vertical="center"/>
    </xf>
    <xf numFmtId="0" fontId="6" fillId="4" borderId="9" xfId="0" applyFont="1" applyFill="1" applyBorder="1"/>
    <xf numFmtId="0" fontId="6" fillId="0" borderId="10" xfId="0" applyFont="1" applyBorder="1"/>
    <xf numFmtId="0" fontId="2" fillId="0" borderId="5" xfId="0" applyFont="1" applyBorder="1"/>
    <xf numFmtId="0" fontId="6" fillId="4" borderId="10" xfId="0" applyFont="1" applyFill="1" applyBorder="1" applyAlignment="1">
      <alignment vertical="center"/>
    </xf>
    <xf numFmtId="0" fontId="2" fillId="4" borderId="0" xfId="0" applyFont="1" applyFill="1" applyAlignment="1">
      <alignment vertical="center"/>
    </xf>
    <xf numFmtId="0" fontId="9" fillId="4" borderId="0" xfId="0" applyFont="1" applyFill="1" applyAlignment="1">
      <alignment horizontal="left" vertical="center" indent="1"/>
    </xf>
    <xf numFmtId="0" fontId="9" fillId="4" borderId="0" xfId="0" applyFont="1" applyFill="1" applyAlignment="1">
      <alignment vertical="center"/>
    </xf>
    <xf numFmtId="0" fontId="9" fillId="4" borderId="0" xfId="0" applyFont="1" applyFill="1" applyAlignment="1">
      <alignment horizontal="left" vertical="center" indent="2"/>
    </xf>
    <xf numFmtId="0" fontId="8" fillId="4" borderId="5" xfId="0" applyFont="1" applyFill="1" applyBorder="1" applyAlignment="1">
      <alignment vertical="center"/>
    </xf>
    <xf numFmtId="0" fontId="6" fillId="5" borderId="10" xfId="0" applyFont="1" applyFill="1" applyBorder="1" applyAlignment="1">
      <alignment vertical="center"/>
    </xf>
    <xf numFmtId="0" fontId="2" fillId="2" borderId="0" xfId="0" applyFont="1" applyFill="1" applyAlignment="1">
      <alignment vertical="center"/>
    </xf>
    <xf numFmtId="0" fontId="6" fillId="2" borderId="0" xfId="0" applyFont="1" applyFill="1" applyAlignment="1">
      <alignment horizontal="left" vertical="center" indent="1"/>
    </xf>
    <xf numFmtId="0" fontId="8" fillId="2" borderId="0" xfId="0" applyFont="1" applyFill="1" applyAlignment="1">
      <alignment horizontal="left" vertical="center" indent="2"/>
    </xf>
    <xf numFmtId="0" fontId="8" fillId="2" borderId="5" xfId="0" applyFont="1" applyFill="1" applyBorder="1" applyAlignment="1">
      <alignment horizontal="left" vertical="center"/>
    </xf>
    <xf numFmtId="0" fontId="8" fillId="2" borderId="5" xfId="0" applyFont="1" applyFill="1" applyBorder="1" applyAlignment="1">
      <alignment horizontal="left" vertical="center" indent="2"/>
    </xf>
    <xf numFmtId="0" fontId="6" fillId="5" borderId="10" xfId="0" applyFont="1" applyFill="1" applyBorder="1"/>
    <xf numFmtId="0" fontId="2" fillId="2" borderId="0" xfId="0" applyFont="1" applyFill="1"/>
    <xf numFmtId="0" fontId="2" fillId="2" borderId="0" xfId="0" applyFont="1" applyFill="1" applyAlignment="1">
      <alignment horizontal="center"/>
    </xf>
    <xf numFmtId="0" fontId="2" fillId="2" borderId="5" xfId="0" applyFont="1" applyFill="1" applyBorder="1"/>
    <xf numFmtId="0" fontId="13" fillId="4" borderId="10" xfId="0" applyFont="1" applyFill="1" applyBorder="1" applyAlignment="1">
      <alignment vertical="center"/>
    </xf>
    <xf numFmtId="0" fontId="7" fillId="4" borderId="0" xfId="0" applyFont="1" applyFill="1" applyAlignment="1">
      <alignment horizontal="center" vertical="center"/>
    </xf>
    <xf numFmtId="0" fontId="7" fillId="4" borderId="0" xfId="0" applyFont="1" applyFill="1" applyAlignment="1">
      <alignment horizontal="left" vertical="center"/>
    </xf>
    <xf numFmtId="0" fontId="7" fillId="4" borderId="0" xfId="0" applyFont="1" applyFill="1" applyAlignment="1">
      <alignment horizontal="center" vertical="center" wrapText="1"/>
    </xf>
    <xf numFmtId="0" fontId="8" fillId="4" borderId="5" xfId="0" applyFont="1" applyFill="1" applyBorder="1" applyAlignment="1">
      <alignment horizontal="center" vertical="center" wrapText="1"/>
    </xf>
    <xf numFmtId="0" fontId="6" fillId="4" borderId="11" xfId="0" applyFont="1" applyFill="1" applyBorder="1"/>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13" fillId="4" borderId="1" xfId="0" applyFont="1" applyFill="1" applyBorder="1" applyAlignment="1">
      <alignment horizontal="center" vertical="center" textRotation="90"/>
    </xf>
    <xf numFmtId="0" fontId="13" fillId="4" borderId="4" xfId="0" applyFont="1" applyFill="1" applyBorder="1" applyAlignment="1">
      <alignment horizontal="center" vertical="center" textRotation="90"/>
    </xf>
    <xf numFmtId="0" fontId="13" fillId="4" borderId="6" xfId="0" applyFont="1" applyFill="1" applyBorder="1" applyAlignment="1">
      <alignment horizontal="center" vertical="center" textRotation="90"/>
    </xf>
    <xf numFmtId="9" fontId="5" fillId="3" borderId="0" xfId="0" applyNumberFormat="1" applyFont="1" applyFill="1" applyAlignment="1">
      <alignment horizontal="center" vertical="center"/>
    </xf>
    <xf numFmtId="0" fontId="9" fillId="4" borderId="2" xfId="0" applyFont="1" applyFill="1" applyBorder="1" applyAlignment="1">
      <alignment horizontal="center" vertical="center"/>
    </xf>
    <xf numFmtId="0" fontId="9" fillId="4" borderId="3" xfId="0" applyFont="1" applyFill="1" applyBorder="1" applyAlignment="1">
      <alignment horizontal="center" vertical="center"/>
    </xf>
    <xf numFmtId="0" fontId="0" fillId="0" borderId="4" xfId="0" applyBorder="1" applyAlignment="1">
      <alignment horizontal="center" vertical="center" textRotation="90"/>
    </xf>
    <xf numFmtId="0" fontId="0" fillId="0" borderId="6" xfId="0" applyBorder="1" applyAlignment="1">
      <alignment horizontal="center" vertical="center" textRotation="90"/>
    </xf>
    <xf numFmtId="0" fontId="14" fillId="4" borderId="1" xfId="0" applyFont="1" applyFill="1" applyBorder="1" applyAlignment="1">
      <alignment horizontal="center" vertical="center" textRotation="90"/>
    </xf>
  </cellXfs>
  <cellStyles count="2">
    <cellStyle name="Standard" xfId="0" builtinId="0"/>
    <cellStyle name="Standard 4" xfId="1" xr:uid="{83F52F49-D882-4F73-BA9C-2B5C32D98E1A}"/>
  </cellStyles>
  <dxfs count="34">
    <dxf>
      <font>
        <color theme="0"/>
      </font>
      <fill>
        <patternFill>
          <bgColor theme="9"/>
        </patternFill>
      </fill>
    </dxf>
    <dxf>
      <font>
        <color theme="0"/>
      </font>
      <fill>
        <patternFill>
          <bgColor theme="7"/>
        </patternFill>
      </fill>
    </dxf>
    <dxf>
      <font>
        <color theme="0"/>
      </font>
      <fill>
        <patternFill>
          <bgColor rgb="FFC00000"/>
        </patternFill>
      </fill>
    </dxf>
    <dxf>
      <font>
        <color theme="0"/>
      </font>
      <fill>
        <patternFill>
          <bgColor theme="9"/>
        </patternFill>
      </fill>
    </dxf>
    <dxf>
      <font>
        <color theme="0"/>
      </font>
      <fill>
        <patternFill>
          <bgColor theme="7"/>
        </patternFill>
      </fill>
    </dxf>
    <dxf>
      <font>
        <color theme="0"/>
      </font>
      <fill>
        <patternFill>
          <bgColor rgb="FFC00000"/>
        </patternFill>
      </fill>
    </dxf>
    <dxf>
      <font>
        <color theme="0"/>
      </font>
      <fill>
        <patternFill>
          <bgColor theme="0" tint="-0.34998626667073579"/>
        </patternFill>
      </fill>
    </dxf>
    <dxf>
      <font>
        <strike val="0"/>
        <outline val="0"/>
        <shadow val="0"/>
        <u val="none"/>
        <vertAlign val="baseline"/>
        <sz val="12"/>
        <color theme="1"/>
        <name val="Arial"/>
        <family val="2"/>
        <scheme val="none"/>
      </font>
      <alignment horizontal="center" vertical="bottom" textRotation="0" wrapText="0" indent="0" justifyLastLine="0" shrinkToFit="0" readingOrder="0"/>
    </dxf>
    <dxf>
      <font>
        <strike val="0"/>
        <outline val="0"/>
        <shadow val="0"/>
        <u val="none"/>
        <vertAlign val="baseline"/>
        <sz val="12"/>
        <color theme="1"/>
        <name val="Arial"/>
        <family val="2"/>
        <scheme val="none"/>
      </font>
      <alignment horizontal="center" vertical="bottom" textRotation="0" wrapText="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val="0"/>
        <i val="0"/>
        <strike val="0"/>
        <condense val="0"/>
        <extend val="0"/>
        <outline val="0"/>
        <shadow val="0"/>
        <u val="none"/>
        <vertAlign val="baseline"/>
        <sz val="10"/>
        <color rgb="FF000000"/>
        <name val="Century Gothic"/>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Century Gothic"/>
        <scheme val="none"/>
      </font>
      <alignment vertical="center" textRotation="0" wrapText="0" justifyLastLine="0" shrinkToFit="0"/>
    </dxf>
    <dxf>
      <font>
        <b val="0"/>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dxf>
    <dxf>
      <font>
        <b val="0"/>
        <i val="0"/>
        <strike val="0"/>
        <condense val="0"/>
        <extend val="0"/>
        <outline val="0"/>
        <shadow val="0"/>
        <u val="none"/>
        <vertAlign val="baseline"/>
        <sz val="10"/>
        <color theme="1"/>
        <name val="Century Gothic"/>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entury Gothic"/>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Century Gothic"/>
        <scheme val="none"/>
      </font>
      <alignment vertical="center" textRotation="0" wrapText="0" justifyLastLine="0" shrinkToFit="0"/>
    </dxf>
    <dxf>
      <font>
        <b val="0"/>
        <i val="0"/>
        <strike val="0"/>
        <condense val="0"/>
        <extend val="0"/>
        <outline val="0"/>
        <shadow val="0"/>
        <u val="none"/>
        <vertAlign val="baseline"/>
        <sz val="11"/>
        <color theme="1"/>
        <name val="Arial"/>
        <family val="2"/>
        <scheme val="none"/>
      </font>
      <fill>
        <patternFill patternType="solid">
          <fgColor indexed="64"/>
          <bgColor rgb="FF365F91"/>
        </patternFill>
      </fill>
      <alignment horizontal="center" vertical="center" textRotation="0" wrapText="1" indent="0" justifyLastLine="0" shrinkToFit="0" readingOrder="0"/>
    </dxf>
  </dxfs>
  <tableStyles count="0" defaultTableStyle="TableStyleMedium9" defaultPivotStyle="PivotStyleMedium7"/>
  <colors>
    <mruColors>
      <color rgb="FF0000FF"/>
      <color rgb="FF33CC33"/>
      <color rgb="FF009900"/>
      <color rgb="FF339933"/>
      <color rgb="FFF2F2F2"/>
      <color rgb="FF365F91"/>
      <color rgb="FF0033CC"/>
      <color rgb="FF0000CC"/>
      <color rgb="FF000099"/>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588235294117598"/>
          <c:y val="0.19718309859154901"/>
          <c:w val="0.26470588235294101"/>
          <c:h val="0.63380281690140805"/>
        </c:manualLayout>
      </c:layout>
      <c:pie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4FB-4859-AB80-65DF1437EEF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4FB-4859-AB80-65DF1437EEF6}"/>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E4FB-4859-AB80-65DF1437EE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Fertigstellungsgrad!$H$4:$H$6</c:f>
              <c:numCache>
                <c:formatCode>General</c:formatCode>
                <c:ptCount val="3"/>
                <c:pt idx="0">
                  <c:v>16</c:v>
                </c:pt>
                <c:pt idx="1">
                  <c:v>13</c:v>
                </c:pt>
                <c:pt idx="2">
                  <c:v>11</c:v>
                </c:pt>
              </c:numCache>
            </c:numRef>
          </c:val>
          <c:extLst>
            <c:ext xmlns:c16="http://schemas.microsoft.com/office/drawing/2014/chart" uri="{C3380CC4-5D6E-409C-BE32-E72D297353CC}">
              <c16:uniqueId val="{00000006-E4FB-4859-AB80-65DF1437EEF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215900</xdr:colOff>
      <xdr:row>3</xdr:row>
      <xdr:rowOff>12700</xdr:rowOff>
    </xdr:from>
    <xdr:to>
      <xdr:col>7</xdr:col>
      <xdr:colOff>2095500</xdr:colOff>
      <xdr:row>7</xdr:row>
      <xdr:rowOff>0</xdr:rowOff>
    </xdr:to>
    <xdr:graphicFrame macro="">
      <xdr:nvGraphicFramePr>
        <xdr:cNvPr id="2" name="Diagram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8</xdr:col>
      <xdr:colOff>697230</xdr:colOff>
      <xdr:row>0</xdr:row>
      <xdr:rowOff>133350</xdr:rowOff>
    </xdr:from>
    <xdr:ext cx="2016706" cy="1690847"/>
    <xdr:sp macro="" textlink="">
      <xdr:nvSpPr>
        <xdr:cNvPr id="2" name="Textfeld 1">
          <a:extLst>
            <a:ext uri="{FF2B5EF4-FFF2-40B4-BE49-F238E27FC236}">
              <a16:creationId xmlns:a16="http://schemas.microsoft.com/office/drawing/2014/main" id="{164F7E9A-1BD9-406E-BE80-2326F6195E4A}"/>
            </a:ext>
          </a:extLst>
        </xdr:cNvPr>
        <xdr:cNvSpPr txBox="1"/>
      </xdr:nvSpPr>
      <xdr:spPr>
        <a:xfrm>
          <a:off x="6061710" y="133350"/>
          <a:ext cx="2016706" cy="1690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000">
              <a:latin typeface="Arial" panose="020B0604020202020204" pitchFamily="34" charset="0"/>
              <a:cs typeface="Arial" panose="020B0604020202020204" pitchFamily="34" charset="0"/>
            </a:rPr>
            <a:t>Historie:</a:t>
          </a:r>
        </a:p>
        <a:p>
          <a:r>
            <a:rPr lang="de-DE" sz="1000">
              <a:latin typeface="Arial" panose="020B0604020202020204" pitchFamily="34" charset="0"/>
              <a:cs typeface="Arial" panose="020B0604020202020204" pitchFamily="34" charset="0"/>
            </a:rPr>
            <a:t>2022/04/25: Version 1: Freigabe</a:t>
          </a:r>
        </a:p>
        <a:p>
          <a:r>
            <a:rPr lang="de-DE" sz="1000">
              <a:solidFill>
                <a:srgbClr val="0000FF"/>
              </a:solidFill>
              <a:latin typeface="Arial" panose="020B0604020202020204" pitchFamily="34" charset="0"/>
              <a:cs typeface="Arial" panose="020B0604020202020204" pitchFamily="34" charset="0"/>
            </a:rPr>
            <a:t>Text: </a:t>
          </a:r>
          <a:r>
            <a:rPr lang="de-DE" sz="1000" baseline="0">
              <a:solidFill>
                <a:srgbClr val="0000FF"/>
              </a:solidFill>
              <a:latin typeface="Arial" panose="020B0604020202020204" pitchFamily="34" charset="0"/>
              <a:cs typeface="Arial" panose="020B0604020202020204" pitchFamily="34" charset="0"/>
            </a:rPr>
            <a:t>Arial</a:t>
          </a:r>
          <a:r>
            <a:rPr lang="de-DE" sz="1000">
              <a:solidFill>
                <a:srgbClr val="0000FF"/>
              </a:solidFill>
              <a:latin typeface="Arial" panose="020B0604020202020204" pitchFamily="34" charset="0"/>
              <a:cs typeface="Arial" panose="020B0604020202020204" pitchFamily="34" charset="0"/>
            </a:rPr>
            <a:t> 10</a:t>
          </a:r>
        </a:p>
        <a:p>
          <a:r>
            <a:rPr lang="de-DE" sz="1000" baseline="0">
              <a:solidFill>
                <a:srgbClr val="0000FF"/>
              </a:solidFill>
              <a:latin typeface="Arial" panose="020B0604020202020204" pitchFamily="34" charset="0"/>
              <a:cs typeface="Arial" panose="020B0604020202020204" pitchFamily="34" charset="0"/>
            </a:rPr>
            <a:t>Blau: #365F91</a:t>
          </a:r>
        </a:p>
        <a:p>
          <a:r>
            <a:rPr lang="de-DE" sz="1000" baseline="0">
              <a:solidFill>
                <a:srgbClr val="0000FF"/>
              </a:solidFill>
              <a:effectLst/>
              <a:latin typeface="Arial" panose="020B0604020202020204" pitchFamily="34" charset="0"/>
              <a:ea typeface="+mn-ea"/>
              <a:cs typeface="Arial" panose="020B0604020202020204" pitchFamily="34" charset="0"/>
            </a:rPr>
            <a:t>Gelb:</a:t>
          </a:r>
          <a:r>
            <a:rPr lang="de-DE" sz="1100" baseline="0">
              <a:solidFill>
                <a:srgbClr val="0000FF"/>
              </a:solidFill>
              <a:effectLst/>
              <a:latin typeface="+mn-lt"/>
              <a:ea typeface="+mn-ea"/>
              <a:cs typeface="+mn-cs"/>
            </a:rPr>
            <a:t> #FFC000</a:t>
          </a:r>
        </a:p>
        <a:p>
          <a:r>
            <a:rPr lang="de-DE" sz="1100" baseline="0">
              <a:solidFill>
                <a:srgbClr val="0000FF"/>
              </a:solidFill>
              <a:effectLst/>
              <a:latin typeface="+mn-lt"/>
              <a:ea typeface="+mn-ea"/>
              <a:cs typeface="+mn-cs"/>
            </a:rPr>
            <a:t>Grün: #70AD47</a:t>
          </a:r>
        </a:p>
        <a:p>
          <a:r>
            <a:rPr lang="de-DE" sz="1100" baseline="0">
              <a:solidFill>
                <a:srgbClr val="0000FF"/>
              </a:solidFill>
              <a:effectLst/>
              <a:latin typeface="+mn-lt"/>
              <a:ea typeface="+mn-ea"/>
              <a:cs typeface="+mn-cs"/>
            </a:rPr>
            <a:t>Rot: #C00000</a:t>
          </a:r>
        </a:p>
        <a:p>
          <a:r>
            <a:rPr lang="de-DE" sz="1100" baseline="0">
              <a:solidFill>
                <a:srgbClr val="0000FF"/>
              </a:solidFill>
              <a:effectLst/>
              <a:latin typeface="+mn-lt"/>
              <a:ea typeface="+mn-ea"/>
              <a:cs typeface="+mn-cs"/>
            </a:rPr>
            <a:t>Grau (dunkel): #A6A6A6</a:t>
          </a:r>
        </a:p>
        <a:p>
          <a:r>
            <a:rPr lang="de-DE" sz="1100" baseline="0">
              <a:solidFill>
                <a:srgbClr val="0000FF"/>
              </a:solidFill>
              <a:effectLst/>
              <a:latin typeface="+mn-lt"/>
              <a:ea typeface="+mn-ea"/>
              <a:cs typeface="+mn-cs"/>
            </a:rPr>
            <a:t>Grau (hell): #F2F2F2</a:t>
          </a:r>
        </a:p>
        <a:p>
          <a:r>
            <a:rPr lang="de-DE" sz="1000">
              <a:latin typeface="Arial" panose="020B0604020202020204" pitchFamily="34" charset="0"/>
              <a:cs typeface="Arial" panose="020B0604020202020204" pitchFamily="34" charset="0"/>
            </a:rPr>
            <a:t>2022/04/xx:</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elle167" displayName="Tabelle167" ref="B10:H50" totalsRowShown="0" headerRowDxfId="33" dataDxfId="32">
  <autoFilter ref="B10:H50" xr:uid="{00000000-0009-0000-0100-000006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ID" dataDxfId="31" totalsRowDxfId="30"/>
    <tableColumn id="2" xr3:uid="{00000000-0010-0000-0100-000002000000}" name="Hinweise zur Dokumentation der Fallstudie" dataDxfId="29" dataCellStyle="Standard 4"/>
    <tableColumn id="3" xr3:uid="{00000000-0010-0000-0100-000003000000}" name="Verantwortlich" dataDxfId="28" totalsRowDxfId="27"/>
    <tableColumn id="5" xr3:uid="{00000000-0010-0000-0100-000005000000}" name="Prio" dataDxfId="26" totalsRowDxfId="25"/>
    <tableColumn id="6" xr3:uid="{00000000-0010-0000-0100-000006000000}" name="Fortschritt" dataDxfId="24" totalsRowDxfId="23"/>
    <tableColumn id="4" xr3:uid="{00000000-0010-0000-0100-000004000000}" name="Status" dataDxfId="22" totalsRowDxfId="21"/>
    <tableColumn id="15" xr3:uid="{00000000-0010-0000-0100-00000F000000}" name="Kommentar" dataDxfId="20" totalsRowDxfId="1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elle2" displayName="Tabelle2" ref="E1:E7" totalsRowShown="0" headerRowDxfId="18" dataDxfId="17">
  <autoFilter ref="E1:E7" xr:uid="{00000000-0009-0000-0100-000002000000}"/>
  <tableColumns count="1">
    <tableColumn id="1" xr3:uid="{00000000-0010-0000-0400-000001000000}" name="Mitarbeiter" dataDxfId="1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elle3" displayName="Tabelle3" ref="C1:C4" totalsRowShown="0" headerRowDxfId="15" dataDxfId="14">
  <autoFilter ref="C1:C4" xr:uid="{00000000-0009-0000-0100-000003000000}"/>
  <tableColumns count="1">
    <tableColumn id="1" xr3:uid="{00000000-0010-0000-0500-000001000000}" name="Prio" dataDxfId="1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elle4" displayName="Tabelle4" ref="A1:A5" totalsRowShown="0" headerRowDxfId="12" dataDxfId="11">
  <autoFilter ref="A1:A5" xr:uid="{00000000-0009-0000-0100-000004000000}"/>
  <tableColumns count="1">
    <tableColumn id="1" xr3:uid="{00000000-0010-0000-0600-000001000000}" name="Status" dataDxfId="1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B26D85-5EA6-429A-A42B-03A07B369796}" name="Tabelle42" displayName="Tabelle42" ref="G1:G6" totalsRowShown="0" headerRowDxfId="9" dataDxfId="8">
  <autoFilter ref="G1:G6" xr:uid="{AFB26D85-5EA6-429A-A42B-03A07B369796}"/>
  <tableColumns count="1">
    <tableColumn id="1" xr3:uid="{EDB5DEFC-3FA1-45B3-BEA9-96C2AC69C902}" name="Prozent" dataDxfId="7"/>
  </tableColumns>
  <tableStyleInfo name="TableStyleMedium9" showFirstColumn="0" showLastColumn="0" showRowStripes="1" showColumnStripes="0"/>
</table>
</file>

<file path=xl/theme/theme1.xml><?xml version="1.0" encoding="utf-8"?>
<a:theme xmlns:a="http://schemas.openxmlformats.org/drawingml/2006/main" name="Office-Design">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4.9989318521683403E-2"/>
    <pageSetUpPr fitToPage="1"/>
  </sheetPr>
  <dimension ref="A1:N51"/>
  <sheetViews>
    <sheetView showGridLines="0" tabSelected="1" zoomScaleNormal="100" zoomScalePageLayoutView="130" workbookViewId="0">
      <selection activeCell="B35" sqref="A35:XFD35"/>
    </sheetView>
  </sheetViews>
  <sheetFormatPr baseColWidth="10" defaultColWidth="10.92578125" defaultRowHeight="15.9" x14ac:dyDescent="0.45"/>
  <cols>
    <col min="1" max="1" width="3.5703125" style="10" bestFit="1" customWidth="1"/>
    <col min="2" max="2" width="3.5703125" style="1" customWidth="1"/>
    <col min="3" max="3" width="41.42578125" style="1" bestFit="1" customWidth="1"/>
    <col min="4" max="4" width="13.5703125" style="1" customWidth="1"/>
    <col min="5" max="5" width="12" style="1" customWidth="1"/>
    <col min="6" max="6" width="12.92578125" customWidth="1"/>
    <col min="7" max="7" width="13.5703125" style="2" customWidth="1"/>
    <col min="8" max="8" width="20.92578125" customWidth="1"/>
    <col min="9" max="16384" width="10.92578125" style="1"/>
  </cols>
  <sheetData>
    <row r="1" spans="1:14" ht="35.4" customHeight="1" x14ac:dyDescent="0.35">
      <c r="A1" s="27"/>
      <c r="B1" s="58" t="s">
        <v>21</v>
      </c>
      <c r="C1" s="58"/>
      <c r="D1" s="58"/>
      <c r="E1" s="58"/>
      <c r="F1" s="58"/>
      <c r="G1" s="58"/>
      <c r="H1" s="59"/>
    </row>
    <row r="2" spans="1:14" ht="14.6" x14ac:dyDescent="0.35">
      <c r="A2" s="28"/>
      <c r="F2" s="1"/>
      <c r="G2" s="1"/>
      <c r="H2" s="29"/>
    </row>
    <row r="3" spans="1:14" s="3" customFormat="1" ht="16.100000000000001" customHeight="1" x14ac:dyDescent="0.45">
      <c r="A3" s="30"/>
      <c r="B3" s="31"/>
      <c r="C3" s="32" t="s">
        <v>19</v>
      </c>
      <c r="D3" s="32" t="s">
        <v>1</v>
      </c>
      <c r="E3" s="33"/>
      <c r="F3" s="33"/>
      <c r="G3" s="34" t="s">
        <v>2</v>
      </c>
      <c r="H3" s="35"/>
    </row>
    <row r="4" spans="1:14" s="3" customFormat="1" ht="18" customHeight="1" x14ac:dyDescent="0.45">
      <c r="A4" s="36"/>
      <c r="B4" s="37"/>
      <c r="C4" s="57">
        <f>AVERAGE(Tabelle167[Fortschritt])</f>
        <v>0</v>
      </c>
      <c r="D4" s="38" t="s">
        <v>14</v>
      </c>
      <c r="E4" s="38">
        <f>COUNTIF(Tabelle167[Status],D4)</f>
        <v>40</v>
      </c>
      <c r="F4" s="38"/>
      <c r="G4" s="39" t="s">
        <v>11</v>
      </c>
      <c r="H4" s="40">
        <f>COUNTIF(Tabelle167[Prio],G4)</f>
        <v>16</v>
      </c>
    </row>
    <row r="5" spans="1:14" s="3" customFormat="1" ht="18" customHeight="1" x14ac:dyDescent="0.45">
      <c r="A5" s="36"/>
      <c r="B5" s="37"/>
      <c r="C5" s="57"/>
      <c r="D5" s="38" t="s">
        <v>15</v>
      </c>
      <c r="E5" s="38">
        <f>COUNTIF(Tabelle167[Status],D5)</f>
        <v>0</v>
      </c>
      <c r="F5" s="38"/>
      <c r="G5" s="39" t="s">
        <v>12</v>
      </c>
      <c r="H5" s="40">
        <f>COUNTIF(Tabelle167[Prio],G5)</f>
        <v>13</v>
      </c>
    </row>
    <row r="6" spans="1:14" s="3" customFormat="1" ht="18" customHeight="1" x14ac:dyDescent="0.45">
      <c r="A6" s="36"/>
      <c r="B6" s="37"/>
      <c r="C6" s="57"/>
      <c r="D6" s="38" t="s">
        <v>16</v>
      </c>
      <c r="E6" s="38">
        <f>COUNTIF(Tabelle167[Status],D6)</f>
        <v>0</v>
      </c>
      <c r="F6" s="38"/>
      <c r="G6" s="39" t="s">
        <v>13</v>
      </c>
      <c r="H6" s="40">
        <f>COUNTIF(Tabelle167[Prio],G6)</f>
        <v>11</v>
      </c>
    </row>
    <row r="7" spans="1:14" s="3" customFormat="1" ht="18" customHeight="1" x14ac:dyDescent="0.45">
      <c r="A7" s="36"/>
      <c r="B7" s="37"/>
      <c r="C7" s="57"/>
      <c r="D7" s="38" t="s">
        <v>17</v>
      </c>
      <c r="E7" s="38">
        <f>COUNTIF(Tabelle167[Status],D7)</f>
        <v>0</v>
      </c>
      <c r="F7" s="38"/>
      <c r="G7" s="38"/>
      <c r="H7" s="41"/>
      <c r="N7" s="6"/>
    </row>
    <row r="8" spans="1:14" ht="8.25" customHeight="1" x14ac:dyDescent="0.35">
      <c r="A8" s="42"/>
      <c r="B8" s="43"/>
      <c r="C8" s="43"/>
      <c r="D8" s="43"/>
      <c r="E8" s="43"/>
      <c r="F8" s="44"/>
      <c r="G8" s="44"/>
      <c r="H8" s="45"/>
      <c r="L8" s="5"/>
    </row>
    <row r="9" spans="1:14" ht="14.6" x14ac:dyDescent="0.35">
      <c r="A9" s="28"/>
      <c r="F9" s="2"/>
      <c r="H9" s="29"/>
    </row>
    <row r="10" spans="1:14" s="3" customFormat="1" ht="33" customHeight="1" thickBot="1" x14ac:dyDescent="0.5">
      <c r="A10" s="46"/>
      <c r="B10" s="47" t="s">
        <v>0</v>
      </c>
      <c r="C10" s="48" t="s">
        <v>62</v>
      </c>
      <c r="D10" s="47" t="s">
        <v>4</v>
      </c>
      <c r="E10" s="47" t="s">
        <v>2</v>
      </c>
      <c r="F10" s="49" t="s">
        <v>19</v>
      </c>
      <c r="G10" s="47" t="s">
        <v>1</v>
      </c>
      <c r="H10" s="50" t="s">
        <v>3</v>
      </c>
    </row>
    <row r="11" spans="1:14" s="4" customFormat="1" ht="21" customHeight="1" x14ac:dyDescent="0.45">
      <c r="A11" s="54" t="s">
        <v>50</v>
      </c>
      <c r="B11" s="13">
        <v>1</v>
      </c>
      <c r="C11" s="25" t="s">
        <v>46</v>
      </c>
      <c r="D11" s="26" t="s">
        <v>63</v>
      </c>
      <c r="E11" s="13" t="s">
        <v>11</v>
      </c>
      <c r="F11" s="15">
        <v>0</v>
      </c>
      <c r="G11" s="13" t="s">
        <v>14</v>
      </c>
      <c r="H11" s="24"/>
    </row>
    <row r="12" spans="1:14" s="4" customFormat="1" ht="21" customHeight="1" x14ac:dyDescent="0.45">
      <c r="A12" s="55"/>
      <c r="B12" s="7">
        <v>2</v>
      </c>
      <c r="C12" s="17" t="s">
        <v>22</v>
      </c>
      <c r="D12" s="9" t="s">
        <v>63</v>
      </c>
      <c r="E12" s="7" t="s">
        <v>11</v>
      </c>
      <c r="F12" s="8">
        <v>0</v>
      </c>
      <c r="G12" s="7" t="s">
        <v>14</v>
      </c>
      <c r="H12" s="18"/>
    </row>
    <row r="13" spans="1:14" s="4" customFormat="1" ht="21" customHeight="1" x14ac:dyDescent="0.45">
      <c r="A13" s="55"/>
      <c r="B13" s="7">
        <v>3</v>
      </c>
      <c r="C13" s="17" t="s">
        <v>47</v>
      </c>
      <c r="D13" s="9" t="s">
        <v>63</v>
      </c>
      <c r="E13" s="7" t="s">
        <v>11</v>
      </c>
      <c r="F13" s="8">
        <v>0</v>
      </c>
      <c r="G13" s="7" t="s">
        <v>14</v>
      </c>
      <c r="H13" s="18"/>
    </row>
    <row r="14" spans="1:14" s="4" customFormat="1" ht="21" customHeight="1" x14ac:dyDescent="0.45">
      <c r="A14" s="55"/>
      <c r="B14" s="7">
        <v>4</v>
      </c>
      <c r="C14" s="17" t="s">
        <v>48</v>
      </c>
      <c r="D14" s="9" t="s">
        <v>63</v>
      </c>
      <c r="E14" s="7" t="s">
        <v>11</v>
      </c>
      <c r="F14" s="8">
        <v>0</v>
      </c>
      <c r="G14" s="7" t="s">
        <v>14</v>
      </c>
      <c r="H14" s="18"/>
    </row>
    <row r="15" spans="1:14" s="4" customFormat="1" ht="21" customHeight="1" thickBot="1" x14ac:dyDescent="0.5">
      <c r="A15" s="56"/>
      <c r="B15" s="19">
        <v>5</v>
      </c>
      <c r="C15" s="20" t="s">
        <v>49</v>
      </c>
      <c r="D15" s="23" t="s">
        <v>63</v>
      </c>
      <c r="E15" s="19" t="s">
        <v>11</v>
      </c>
      <c r="F15" s="21">
        <v>0</v>
      </c>
      <c r="G15" s="19" t="s">
        <v>14</v>
      </c>
      <c r="H15" s="22"/>
    </row>
    <row r="16" spans="1:14" s="4" customFormat="1" ht="21" customHeight="1" x14ac:dyDescent="0.45">
      <c r="A16" s="54" t="s">
        <v>51</v>
      </c>
      <c r="B16" s="7">
        <v>6</v>
      </c>
      <c r="C16" s="14" t="s">
        <v>70</v>
      </c>
      <c r="D16" s="26" t="s">
        <v>63</v>
      </c>
      <c r="E16" s="13" t="s">
        <v>11</v>
      </c>
      <c r="F16" s="15">
        <v>0</v>
      </c>
      <c r="G16" s="13" t="s">
        <v>14</v>
      </c>
      <c r="H16" s="16"/>
    </row>
    <row r="17" spans="1:8" s="4" customFormat="1" ht="21" customHeight="1" x14ac:dyDescent="0.45">
      <c r="A17" s="55"/>
      <c r="B17" s="7">
        <v>7</v>
      </c>
      <c r="C17" s="17" t="s">
        <v>23</v>
      </c>
      <c r="D17" s="9" t="s">
        <v>63</v>
      </c>
      <c r="E17" s="7" t="s">
        <v>11</v>
      </c>
      <c r="F17" s="8">
        <v>0</v>
      </c>
      <c r="G17" s="7" t="s">
        <v>14</v>
      </c>
      <c r="H17" s="18"/>
    </row>
    <row r="18" spans="1:8" s="4" customFormat="1" ht="21" customHeight="1" x14ac:dyDescent="0.45">
      <c r="A18" s="55"/>
      <c r="B18" s="7">
        <v>8</v>
      </c>
      <c r="C18" s="17" t="s">
        <v>34</v>
      </c>
      <c r="D18" s="9" t="s">
        <v>63</v>
      </c>
      <c r="E18" s="7" t="s">
        <v>12</v>
      </c>
      <c r="F18" s="8">
        <v>0</v>
      </c>
      <c r="G18" s="7" t="s">
        <v>14</v>
      </c>
      <c r="H18" s="18"/>
    </row>
    <row r="19" spans="1:8" ht="21" customHeight="1" thickBot="1" x14ac:dyDescent="0.4">
      <c r="A19" s="56"/>
      <c r="B19" s="19">
        <v>9</v>
      </c>
      <c r="C19" s="20" t="s">
        <v>35</v>
      </c>
      <c r="D19" s="23" t="s">
        <v>63</v>
      </c>
      <c r="E19" s="19" t="s">
        <v>11</v>
      </c>
      <c r="F19" s="21">
        <v>0</v>
      </c>
      <c r="G19" s="19" t="s">
        <v>14</v>
      </c>
      <c r="H19" s="22"/>
    </row>
    <row r="20" spans="1:8" ht="21" customHeight="1" x14ac:dyDescent="0.35">
      <c r="A20" s="54" t="s">
        <v>52</v>
      </c>
      <c r="B20" s="7">
        <v>10</v>
      </c>
      <c r="C20" s="14" t="s">
        <v>64</v>
      </c>
      <c r="D20" s="26" t="s">
        <v>63</v>
      </c>
      <c r="E20" s="13" t="s">
        <v>11</v>
      </c>
      <c r="F20" s="15">
        <v>0</v>
      </c>
      <c r="G20" s="13" t="s">
        <v>14</v>
      </c>
      <c r="H20" s="16"/>
    </row>
    <row r="21" spans="1:8" ht="21" customHeight="1" x14ac:dyDescent="0.35">
      <c r="A21" s="60"/>
      <c r="B21" s="7">
        <v>11</v>
      </c>
      <c r="C21" s="17" t="s">
        <v>24</v>
      </c>
      <c r="D21" s="9" t="s">
        <v>63</v>
      </c>
      <c r="E21" s="7" t="s">
        <v>13</v>
      </c>
      <c r="F21" s="8">
        <v>0</v>
      </c>
      <c r="G21" s="7" t="s">
        <v>14</v>
      </c>
      <c r="H21" s="18"/>
    </row>
    <row r="22" spans="1:8" ht="21" customHeight="1" x14ac:dyDescent="0.35">
      <c r="A22" s="60"/>
      <c r="B22" s="7">
        <v>12</v>
      </c>
      <c r="C22" s="17" t="s">
        <v>25</v>
      </c>
      <c r="D22" s="9" t="s">
        <v>63</v>
      </c>
      <c r="E22" s="7" t="s">
        <v>11</v>
      </c>
      <c r="F22" s="8">
        <v>0</v>
      </c>
      <c r="G22" s="7" t="s">
        <v>14</v>
      </c>
      <c r="H22" s="18"/>
    </row>
    <row r="23" spans="1:8" ht="21" customHeight="1" x14ac:dyDescent="0.35">
      <c r="A23" s="60"/>
      <c r="B23" s="7">
        <v>13</v>
      </c>
      <c r="C23" s="17" t="s">
        <v>26</v>
      </c>
      <c r="D23" s="9" t="s">
        <v>63</v>
      </c>
      <c r="E23" s="7" t="s">
        <v>13</v>
      </c>
      <c r="F23" s="8">
        <v>0</v>
      </c>
      <c r="G23" s="7" t="s">
        <v>14</v>
      </c>
      <c r="H23" s="18"/>
    </row>
    <row r="24" spans="1:8" ht="21" customHeight="1" x14ac:dyDescent="0.35">
      <c r="A24" s="60"/>
      <c r="B24" s="7">
        <v>14</v>
      </c>
      <c r="C24" s="17" t="s">
        <v>65</v>
      </c>
      <c r="D24" s="9" t="s">
        <v>63</v>
      </c>
      <c r="E24" s="7" t="s">
        <v>13</v>
      </c>
      <c r="F24" s="8">
        <v>0</v>
      </c>
      <c r="G24" s="7" t="s">
        <v>14</v>
      </c>
      <c r="H24" s="18"/>
    </row>
    <row r="25" spans="1:8" ht="21" customHeight="1" x14ac:dyDescent="0.35">
      <c r="A25" s="60"/>
      <c r="B25" s="7">
        <v>15</v>
      </c>
      <c r="C25" s="17" t="s">
        <v>36</v>
      </c>
      <c r="D25" s="9" t="s">
        <v>63</v>
      </c>
      <c r="E25" s="7" t="s">
        <v>13</v>
      </c>
      <c r="F25" s="8">
        <v>0</v>
      </c>
      <c r="G25" s="7" t="s">
        <v>14</v>
      </c>
      <c r="H25" s="18"/>
    </row>
    <row r="26" spans="1:8" ht="21" customHeight="1" x14ac:dyDescent="0.35">
      <c r="A26" s="60"/>
      <c r="B26" s="7">
        <v>16</v>
      </c>
      <c r="C26" s="17" t="s">
        <v>27</v>
      </c>
      <c r="D26" s="9" t="s">
        <v>63</v>
      </c>
      <c r="E26" s="7" t="s">
        <v>12</v>
      </c>
      <c r="F26" s="8">
        <v>0</v>
      </c>
      <c r="G26" s="7" t="s">
        <v>14</v>
      </c>
      <c r="H26" s="18"/>
    </row>
    <row r="27" spans="1:8" ht="21" customHeight="1" x14ac:dyDescent="0.35">
      <c r="A27" s="60"/>
      <c r="B27" s="7">
        <v>17</v>
      </c>
      <c r="C27" s="17" t="s">
        <v>37</v>
      </c>
      <c r="D27" s="9" t="s">
        <v>63</v>
      </c>
      <c r="E27" s="7" t="s">
        <v>12</v>
      </c>
      <c r="F27" s="8">
        <v>0</v>
      </c>
      <c r="G27" s="7" t="s">
        <v>14</v>
      </c>
      <c r="H27" s="18"/>
    </row>
    <row r="28" spans="1:8" ht="21" customHeight="1" thickBot="1" x14ac:dyDescent="0.4">
      <c r="A28" s="61"/>
      <c r="B28" s="19">
        <v>18</v>
      </c>
      <c r="C28" s="20" t="s">
        <v>28</v>
      </c>
      <c r="D28" s="23" t="s">
        <v>63</v>
      </c>
      <c r="E28" s="19" t="s">
        <v>11</v>
      </c>
      <c r="F28" s="21">
        <v>0</v>
      </c>
      <c r="G28" s="19" t="s">
        <v>14</v>
      </c>
      <c r="H28" s="22"/>
    </row>
    <row r="29" spans="1:8" ht="21" customHeight="1" x14ac:dyDescent="0.35">
      <c r="A29" s="54" t="s">
        <v>53</v>
      </c>
      <c r="B29" s="7">
        <v>19</v>
      </c>
      <c r="C29" s="14" t="s">
        <v>66</v>
      </c>
      <c r="D29" s="26" t="s">
        <v>63</v>
      </c>
      <c r="E29" s="13" t="s">
        <v>11</v>
      </c>
      <c r="F29" s="15">
        <v>0</v>
      </c>
      <c r="G29" s="13" t="s">
        <v>14</v>
      </c>
      <c r="H29" s="16"/>
    </row>
    <row r="30" spans="1:8" ht="21" customHeight="1" x14ac:dyDescent="0.35">
      <c r="A30" s="60"/>
      <c r="B30" s="7">
        <v>20</v>
      </c>
      <c r="C30" s="17" t="s">
        <v>38</v>
      </c>
      <c r="D30" s="9" t="s">
        <v>63</v>
      </c>
      <c r="E30" s="7" t="s">
        <v>13</v>
      </c>
      <c r="F30" s="8">
        <v>0</v>
      </c>
      <c r="G30" s="7" t="s">
        <v>14</v>
      </c>
      <c r="H30" s="18"/>
    </row>
    <row r="31" spans="1:8" ht="21" customHeight="1" x14ac:dyDescent="0.35">
      <c r="A31" s="60"/>
      <c r="B31" s="7">
        <v>21</v>
      </c>
      <c r="C31" s="17" t="s">
        <v>29</v>
      </c>
      <c r="D31" s="9" t="s">
        <v>63</v>
      </c>
      <c r="E31" s="7" t="s">
        <v>13</v>
      </c>
      <c r="F31" s="8">
        <v>0</v>
      </c>
      <c r="G31" s="7" t="s">
        <v>14</v>
      </c>
      <c r="H31" s="18"/>
    </row>
    <row r="32" spans="1:8" ht="21" customHeight="1" x14ac:dyDescent="0.35">
      <c r="A32" s="60"/>
      <c r="B32" s="7">
        <v>22</v>
      </c>
      <c r="C32" s="17" t="s">
        <v>30</v>
      </c>
      <c r="D32" s="9" t="s">
        <v>63</v>
      </c>
      <c r="E32" s="7" t="s">
        <v>12</v>
      </c>
      <c r="F32" s="8">
        <v>0</v>
      </c>
      <c r="G32" s="7" t="s">
        <v>14</v>
      </c>
      <c r="H32" s="18"/>
    </row>
    <row r="33" spans="1:8" ht="21" customHeight="1" x14ac:dyDescent="0.35">
      <c r="A33" s="60"/>
      <c r="B33" s="7">
        <v>23</v>
      </c>
      <c r="C33" s="17" t="s">
        <v>39</v>
      </c>
      <c r="D33" s="9" t="s">
        <v>63</v>
      </c>
      <c r="E33" s="7" t="s">
        <v>13</v>
      </c>
      <c r="F33" s="8">
        <v>0</v>
      </c>
      <c r="G33" s="7" t="s">
        <v>14</v>
      </c>
      <c r="H33" s="18"/>
    </row>
    <row r="34" spans="1:8" ht="21" customHeight="1" thickBot="1" x14ac:dyDescent="0.4">
      <c r="A34" s="60"/>
      <c r="B34" s="9">
        <v>24</v>
      </c>
      <c r="C34" s="17" t="s">
        <v>71</v>
      </c>
      <c r="D34" s="9" t="s">
        <v>63</v>
      </c>
      <c r="E34" s="7" t="s">
        <v>12</v>
      </c>
      <c r="F34" s="8">
        <v>0</v>
      </c>
      <c r="G34" s="7" t="s">
        <v>14</v>
      </c>
      <c r="H34" s="18"/>
    </row>
    <row r="35" spans="1:8" ht="21" customHeight="1" x14ac:dyDescent="0.35">
      <c r="A35" s="54" t="s">
        <v>54</v>
      </c>
      <c r="B35" s="7">
        <v>26</v>
      </c>
      <c r="C35" s="14" t="s">
        <v>67</v>
      </c>
      <c r="D35" s="26" t="s">
        <v>63</v>
      </c>
      <c r="E35" s="13" t="s">
        <v>11</v>
      </c>
      <c r="F35" s="15">
        <v>0</v>
      </c>
      <c r="G35" s="13" t="s">
        <v>14</v>
      </c>
      <c r="H35" s="16"/>
    </row>
    <row r="36" spans="1:8" ht="21" customHeight="1" x14ac:dyDescent="0.35">
      <c r="A36" s="60"/>
      <c r="B36" s="7">
        <v>27</v>
      </c>
      <c r="C36" s="17" t="s">
        <v>40</v>
      </c>
      <c r="D36" s="9" t="s">
        <v>63</v>
      </c>
      <c r="E36" s="7" t="s">
        <v>12</v>
      </c>
      <c r="F36" s="8">
        <v>0</v>
      </c>
      <c r="G36" s="7" t="s">
        <v>14</v>
      </c>
      <c r="H36" s="18"/>
    </row>
    <row r="37" spans="1:8" ht="21" customHeight="1" x14ac:dyDescent="0.35">
      <c r="A37" s="60"/>
      <c r="B37" s="7">
        <v>28</v>
      </c>
      <c r="C37" s="17" t="s">
        <v>41</v>
      </c>
      <c r="D37" s="9" t="s">
        <v>63</v>
      </c>
      <c r="E37" s="7" t="s">
        <v>12</v>
      </c>
      <c r="F37" s="8">
        <v>0</v>
      </c>
      <c r="G37" s="7" t="s">
        <v>14</v>
      </c>
      <c r="H37" s="18"/>
    </row>
    <row r="38" spans="1:8" ht="21" customHeight="1" x14ac:dyDescent="0.35">
      <c r="A38" s="60"/>
      <c r="B38" s="7">
        <v>29</v>
      </c>
      <c r="C38" s="17" t="s">
        <v>42</v>
      </c>
      <c r="D38" s="9" t="s">
        <v>63</v>
      </c>
      <c r="E38" s="7" t="s">
        <v>12</v>
      </c>
      <c r="F38" s="8">
        <v>0</v>
      </c>
      <c r="G38" s="7" t="s">
        <v>14</v>
      </c>
      <c r="H38" s="18"/>
    </row>
    <row r="39" spans="1:8" ht="21" customHeight="1" x14ac:dyDescent="0.35">
      <c r="A39" s="60"/>
      <c r="B39" s="7">
        <v>30</v>
      </c>
      <c r="C39" s="17" t="s">
        <v>43</v>
      </c>
      <c r="D39" s="9" t="s">
        <v>63</v>
      </c>
      <c r="E39" s="7" t="s">
        <v>13</v>
      </c>
      <c r="F39" s="8">
        <v>0</v>
      </c>
      <c r="G39" s="7" t="s">
        <v>14</v>
      </c>
      <c r="H39" s="18"/>
    </row>
    <row r="40" spans="1:8" ht="21" customHeight="1" x14ac:dyDescent="0.35">
      <c r="A40" s="60"/>
      <c r="B40" s="7">
        <v>31</v>
      </c>
      <c r="C40" s="17" t="s">
        <v>44</v>
      </c>
      <c r="D40" s="9" t="s">
        <v>63</v>
      </c>
      <c r="E40" s="7" t="s">
        <v>13</v>
      </c>
      <c r="F40" s="8">
        <v>0</v>
      </c>
      <c r="G40" s="7" t="s">
        <v>14</v>
      </c>
      <c r="H40" s="18"/>
    </row>
    <row r="41" spans="1:8" ht="21" customHeight="1" thickBot="1" x14ac:dyDescent="0.4">
      <c r="A41" s="61"/>
      <c r="B41" s="19">
        <v>32</v>
      </c>
      <c r="C41" s="20" t="s">
        <v>31</v>
      </c>
      <c r="D41" s="23" t="s">
        <v>63</v>
      </c>
      <c r="E41" s="19" t="s">
        <v>13</v>
      </c>
      <c r="F41" s="21">
        <v>0</v>
      </c>
      <c r="G41" s="19" t="s">
        <v>14</v>
      </c>
      <c r="H41" s="22"/>
    </row>
    <row r="42" spans="1:8" ht="21" customHeight="1" x14ac:dyDescent="0.35">
      <c r="A42" s="62" t="s">
        <v>55</v>
      </c>
      <c r="B42" s="7">
        <v>33</v>
      </c>
      <c r="C42" s="14" t="s">
        <v>68</v>
      </c>
      <c r="D42" s="26" t="s">
        <v>63</v>
      </c>
      <c r="E42" s="13" t="s">
        <v>11</v>
      </c>
      <c r="F42" s="15">
        <v>0</v>
      </c>
      <c r="G42" s="13" t="s">
        <v>14</v>
      </c>
      <c r="H42" s="16"/>
    </row>
    <row r="43" spans="1:8" ht="21" customHeight="1" x14ac:dyDescent="0.35">
      <c r="A43" s="60"/>
      <c r="B43" s="7">
        <v>34</v>
      </c>
      <c r="C43" s="17" t="s">
        <v>32</v>
      </c>
      <c r="D43" s="9" t="s">
        <v>63</v>
      </c>
      <c r="E43" s="7" t="s">
        <v>11</v>
      </c>
      <c r="F43" s="8">
        <v>0</v>
      </c>
      <c r="G43" s="7" t="s">
        <v>14</v>
      </c>
      <c r="H43" s="18"/>
    </row>
    <row r="44" spans="1:8" ht="21" customHeight="1" x14ac:dyDescent="0.35">
      <c r="A44" s="60"/>
      <c r="B44" s="7">
        <v>35</v>
      </c>
      <c r="C44" s="17" t="s">
        <v>45</v>
      </c>
      <c r="D44" s="9" t="s">
        <v>63</v>
      </c>
      <c r="E44" s="7" t="s">
        <v>11</v>
      </c>
      <c r="F44" s="8">
        <v>0</v>
      </c>
      <c r="G44" s="7" t="s">
        <v>14</v>
      </c>
      <c r="H44" s="18"/>
    </row>
    <row r="45" spans="1:8" ht="21" customHeight="1" thickBot="1" x14ac:dyDescent="0.4">
      <c r="A45" s="61"/>
      <c r="B45" s="19">
        <v>36</v>
      </c>
      <c r="C45" s="20" t="s">
        <v>33</v>
      </c>
      <c r="D45" s="23" t="s">
        <v>63</v>
      </c>
      <c r="E45" s="19" t="s">
        <v>13</v>
      </c>
      <c r="F45" s="21">
        <v>0</v>
      </c>
      <c r="G45" s="19" t="s">
        <v>14</v>
      </c>
      <c r="H45" s="22"/>
    </row>
    <row r="46" spans="1:8" ht="21" customHeight="1" x14ac:dyDescent="0.35">
      <c r="A46" s="54" t="s">
        <v>56</v>
      </c>
      <c r="B46" s="13">
        <v>37</v>
      </c>
      <c r="C46" s="14" t="s">
        <v>57</v>
      </c>
      <c r="D46" s="26" t="s">
        <v>63</v>
      </c>
      <c r="E46" s="13" t="s">
        <v>12</v>
      </c>
      <c r="F46" s="15">
        <v>0</v>
      </c>
      <c r="G46" s="13" t="s">
        <v>14</v>
      </c>
      <c r="H46" s="16"/>
    </row>
    <row r="47" spans="1:8" ht="21" customHeight="1" x14ac:dyDescent="0.35">
      <c r="A47" s="55"/>
      <c r="B47" s="7">
        <v>38</v>
      </c>
      <c r="C47" s="17" t="s">
        <v>58</v>
      </c>
      <c r="D47" s="9" t="s">
        <v>63</v>
      </c>
      <c r="E47" s="7" t="s">
        <v>12</v>
      </c>
      <c r="F47" s="8">
        <v>0</v>
      </c>
      <c r="G47" s="7" t="s">
        <v>14</v>
      </c>
      <c r="H47" s="18"/>
    </row>
    <row r="48" spans="1:8" ht="21" customHeight="1" x14ac:dyDescent="0.35">
      <c r="A48" s="55"/>
      <c r="B48" s="7">
        <v>39</v>
      </c>
      <c r="C48" s="17" t="s">
        <v>59</v>
      </c>
      <c r="D48" s="9" t="s">
        <v>63</v>
      </c>
      <c r="E48" s="7" t="s">
        <v>12</v>
      </c>
      <c r="F48" s="8">
        <v>0</v>
      </c>
      <c r="G48" s="7" t="s">
        <v>14</v>
      </c>
      <c r="H48" s="18"/>
    </row>
    <row r="49" spans="1:8" ht="21" customHeight="1" x14ac:dyDescent="0.35">
      <c r="A49" s="55"/>
      <c r="B49" s="7">
        <v>40</v>
      </c>
      <c r="C49" s="17" t="s">
        <v>60</v>
      </c>
      <c r="D49" s="9" t="s">
        <v>63</v>
      </c>
      <c r="E49" s="7" t="s">
        <v>12</v>
      </c>
      <c r="F49" s="8">
        <v>0</v>
      </c>
      <c r="G49" s="7" t="s">
        <v>14</v>
      </c>
      <c r="H49" s="18"/>
    </row>
    <row r="50" spans="1:8" ht="21" customHeight="1" thickBot="1" x14ac:dyDescent="0.4">
      <c r="A50" s="56"/>
      <c r="B50" s="19">
        <v>41</v>
      </c>
      <c r="C50" s="20" t="s">
        <v>61</v>
      </c>
      <c r="D50" s="23" t="s">
        <v>63</v>
      </c>
      <c r="E50" s="19" t="s">
        <v>12</v>
      </c>
      <c r="F50" s="21">
        <v>0</v>
      </c>
      <c r="G50" s="19" t="s">
        <v>14</v>
      </c>
      <c r="H50" s="22"/>
    </row>
    <row r="51" spans="1:8" ht="18" customHeight="1" thickBot="1" x14ac:dyDescent="0.4">
      <c r="A51" s="51"/>
      <c r="B51" s="52" t="s">
        <v>69</v>
      </c>
      <c r="C51" s="52"/>
      <c r="D51" s="52"/>
      <c r="E51" s="52"/>
      <c r="F51" s="52"/>
      <c r="G51" s="52"/>
      <c r="H51" s="53"/>
    </row>
  </sheetData>
  <mergeCells count="10">
    <mergeCell ref="B51:H51"/>
    <mergeCell ref="A46:A50"/>
    <mergeCell ref="C4:C7"/>
    <mergeCell ref="B1:H1"/>
    <mergeCell ref="A11:A15"/>
    <mergeCell ref="A16:A19"/>
    <mergeCell ref="A20:A28"/>
    <mergeCell ref="A29:A34"/>
    <mergeCell ref="A35:A41"/>
    <mergeCell ref="A42:A45"/>
  </mergeCells>
  <conditionalFormatting sqref="F11:F50">
    <cfRule type="dataBar" priority="15">
      <dataBar>
        <cfvo type="num" val="0"/>
        <cfvo type="num" val="1"/>
        <color theme="4" tint="0.79998168889431442"/>
      </dataBar>
      <extLst>
        <ext xmlns:x14="http://schemas.microsoft.com/office/spreadsheetml/2009/9/main" uri="{B025F937-C7B1-47D3-B67F-A62EFF666E3E}">
          <x14:id>{819A1DC9-2751-F240-B59D-FF32792FDB56}</x14:id>
        </ext>
      </extLst>
    </cfRule>
  </conditionalFormatting>
  <conditionalFormatting sqref="G11:G50">
    <cfRule type="containsText" dxfId="6" priority="8" operator="containsText" text="Wartend">
      <formula>NOT(ISERROR(SEARCH("Wartend",G11)))</formula>
    </cfRule>
    <cfRule type="containsText" dxfId="5" priority="12" operator="containsText" text="Offen">
      <formula>NOT(ISERROR(SEARCH("Offen",G11)))</formula>
    </cfRule>
    <cfRule type="containsText" dxfId="4" priority="13" operator="containsText" text="In Arbeit">
      <formula>NOT(ISERROR(SEARCH("In Arbeit",G11)))</formula>
    </cfRule>
    <cfRule type="containsText" dxfId="3" priority="14" operator="containsText" text="Erledigt">
      <formula>NOT(ISERROR(SEARCH("Erledigt",G11)))</formula>
    </cfRule>
  </conditionalFormatting>
  <conditionalFormatting sqref="E11:E50">
    <cfRule type="containsText" dxfId="2" priority="9" operator="containsText" text="Hoch">
      <formula>NOT(ISERROR(SEARCH("Hoch",E11)))</formula>
    </cfRule>
    <cfRule type="containsText" dxfId="1" priority="10" operator="containsText" text="Mittel">
      <formula>NOT(ISERROR(SEARCH("Mittel",E11)))</formula>
    </cfRule>
    <cfRule type="containsText" dxfId="0" priority="11" operator="containsText" text="Niedrig">
      <formula>NOT(ISERROR(SEARCH("Niedrig",E11)))</formula>
    </cfRule>
  </conditionalFormatting>
  <conditionalFormatting sqref="E7:G7 E4:F6">
    <cfRule type="dataBar" priority="7">
      <dataBar>
        <cfvo type="min"/>
        <cfvo type="max"/>
        <color theme="4" tint="0.39997558519241921"/>
      </dataBar>
      <extLst>
        <ext xmlns:x14="http://schemas.microsoft.com/office/spreadsheetml/2009/9/main" uri="{B025F937-C7B1-47D3-B67F-A62EFF666E3E}">
          <x14:id>{D40A8A1B-A9FB-9F46-A630-F72826ED7097}</x14:id>
        </ext>
      </extLst>
    </cfRule>
  </conditionalFormatting>
  <conditionalFormatting sqref="C4:C7">
    <cfRule type="dataBar" priority="2">
      <dataBar>
        <cfvo type="num" val="0"/>
        <cfvo type="num" val="1"/>
        <color theme="9" tint="0.79998168889431442"/>
      </dataBar>
      <extLst>
        <ext xmlns:x14="http://schemas.microsoft.com/office/spreadsheetml/2009/9/main" uri="{B025F937-C7B1-47D3-B67F-A62EFF666E3E}">
          <x14:id>{CA316B97-4C2F-354A-81D0-41C0DDFFDDC8}</x14:id>
        </ext>
      </extLst>
    </cfRule>
  </conditionalFormatting>
  <conditionalFormatting sqref="G11">
    <cfRule type="colorScale" priority="1">
      <colorScale>
        <cfvo type="min"/>
        <cfvo type="percentile" val="50"/>
        <cfvo type="max"/>
        <color rgb="FFF8696B"/>
        <color rgb="FFFFEB84"/>
        <color rgb="FF63BE7B"/>
      </colorScale>
    </cfRule>
  </conditionalFormatting>
  <pageMargins left="7.874015748031496E-2" right="7.874015748031496E-2" top="0.47244094488188981" bottom="0.47244094488188981" header="0.31496062992125984" footer="0.31496062992125984"/>
  <pageSetup paperSize="9" scale="62"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819A1DC9-2751-F240-B59D-FF32792FDB56}">
            <x14:dataBar minLength="0" maxLength="100" gradient="0">
              <x14:cfvo type="num">
                <xm:f>0</xm:f>
              </x14:cfvo>
              <x14:cfvo type="num">
                <xm:f>1</xm:f>
              </x14:cfvo>
              <x14:negativeFillColor rgb="FFFF0000"/>
              <x14:axisColor rgb="FF000000"/>
            </x14:dataBar>
          </x14:cfRule>
          <xm:sqref>F11:F50</xm:sqref>
        </x14:conditionalFormatting>
        <x14:conditionalFormatting xmlns:xm="http://schemas.microsoft.com/office/excel/2006/main">
          <x14:cfRule type="dataBar" id="{D40A8A1B-A9FB-9F46-A630-F72826ED7097}">
            <x14:dataBar minLength="0" maxLength="100" gradient="0">
              <x14:cfvo type="autoMin"/>
              <x14:cfvo type="autoMax"/>
              <x14:negativeFillColor rgb="FFFF0000"/>
              <x14:axisColor rgb="FF000000"/>
            </x14:dataBar>
          </x14:cfRule>
          <xm:sqref>E7:G7 E4:F6</xm:sqref>
        </x14:conditionalFormatting>
        <x14:conditionalFormatting xmlns:xm="http://schemas.microsoft.com/office/excel/2006/main">
          <x14:cfRule type="dataBar" id="{CA316B97-4C2F-354A-81D0-41C0DDFFDDC8}">
            <x14:dataBar minLength="0" maxLength="100" gradient="0">
              <x14:cfvo type="num">
                <xm:f>0</xm:f>
              </x14:cfvo>
              <x14:cfvo type="num">
                <xm:f>1</xm:f>
              </x14:cfvo>
              <x14:negativeFillColor rgb="FFFF0000"/>
              <x14:axisColor rgb="FF000000"/>
            </x14:dataBar>
          </x14:cfRule>
          <xm:sqref>C4:C7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Source!$A$2:$A$5</xm:f>
          </x14:formula1>
          <xm:sqref>G11:G50</xm:sqref>
        </x14:dataValidation>
        <x14:dataValidation type="list" allowBlank="1" showInputMessage="1" showErrorMessage="1" xr:uid="{00000000-0002-0000-0100-000002000000}">
          <x14:formula1>
            <xm:f>Source!$C$2:$C$4</xm:f>
          </x14:formula1>
          <xm:sqref>E11:E50</xm:sqref>
        </x14:dataValidation>
        <x14:dataValidation type="list" allowBlank="1" showInputMessage="1" showErrorMessage="1" error="Zulässig sind nur folgende Werte:_x000a_0% / 25% / 50% / 75% / 100%" xr:uid="{5BB3D722-C600-4316-94B8-C641F9CB9A13}">
          <x14:formula1>
            <xm:f>Source!$G$2:$G$6</xm:f>
          </x14:formula1>
          <xm:sqref>F11:F50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
  <sheetViews>
    <sheetView showGridLines="0" zoomScaleNormal="100" workbookViewId="0">
      <selection activeCell="I16" sqref="I16"/>
    </sheetView>
  </sheetViews>
  <sheetFormatPr baseColWidth="10" defaultColWidth="10.5703125" defaultRowHeight="15.9" x14ac:dyDescent="0.45"/>
  <cols>
    <col min="2" max="2" width="2.0703125" customWidth="1"/>
    <col min="4" max="4" width="1.92578125" customWidth="1"/>
    <col min="5" max="5" width="13.42578125" customWidth="1"/>
  </cols>
  <sheetData>
    <row r="1" spans="1:7" x14ac:dyDescent="0.45">
      <c r="A1" s="11" t="s">
        <v>1</v>
      </c>
      <c r="B1" s="11"/>
      <c r="C1" s="11" t="s">
        <v>2</v>
      </c>
      <c r="D1" s="11"/>
      <c r="E1" s="11" t="s">
        <v>5</v>
      </c>
      <c r="F1" s="11"/>
      <c r="G1" s="11" t="s">
        <v>20</v>
      </c>
    </row>
    <row r="2" spans="1:7" x14ac:dyDescent="0.45">
      <c r="A2" s="11" t="s">
        <v>14</v>
      </c>
      <c r="B2" s="11"/>
      <c r="C2" s="11" t="s">
        <v>11</v>
      </c>
      <c r="D2" s="11"/>
      <c r="E2" s="11" t="s">
        <v>6</v>
      </c>
      <c r="F2" s="11"/>
      <c r="G2" s="12">
        <v>0</v>
      </c>
    </row>
    <row r="3" spans="1:7" x14ac:dyDescent="0.45">
      <c r="A3" s="11" t="s">
        <v>15</v>
      </c>
      <c r="B3" s="11"/>
      <c r="C3" s="11" t="s">
        <v>12</v>
      </c>
      <c r="D3" s="11"/>
      <c r="E3" s="11" t="s">
        <v>7</v>
      </c>
      <c r="F3" s="11"/>
      <c r="G3" s="12">
        <v>0.25</v>
      </c>
    </row>
    <row r="4" spans="1:7" x14ac:dyDescent="0.45">
      <c r="A4" s="11" t="s">
        <v>16</v>
      </c>
      <c r="B4" s="11"/>
      <c r="C4" s="11" t="s">
        <v>13</v>
      </c>
      <c r="D4" s="11"/>
      <c r="E4" s="11" t="s">
        <v>8</v>
      </c>
      <c r="F4" s="11"/>
      <c r="G4" s="12">
        <v>0.5</v>
      </c>
    </row>
    <row r="5" spans="1:7" x14ac:dyDescent="0.45">
      <c r="A5" s="11" t="s">
        <v>17</v>
      </c>
      <c r="B5" s="11"/>
      <c r="C5" s="11"/>
      <c r="D5" s="11"/>
      <c r="E5" s="11" t="s">
        <v>9</v>
      </c>
      <c r="F5" s="11"/>
      <c r="G5" s="12">
        <v>0.75</v>
      </c>
    </row>
    <row r="6" spans="1:7" x14ac:dyDescent="0.45">
      <c r="A6" s="11"/>
      <c r="B6" s="11"/>
      <c r="C6" s="11"/>
      <c r="D6" s="11"/>
      <c r="E6" s="11" t="s">
        <v>10</v>
      </c>
      <c r="F6" s="11"/>
      <c r="G6" s="12">
        <v>1</v>
      </c>
    </row>
    <row r="7" spans="1:7" x14ac:dyDescent="0.45">
      <c r="A7" s="11"/>
      <c r="B7" s="11"/>
      <c r="C7" s="11"/>
      <c r="D7" s="11"/>
      <c r="E7" s="11" t="s">
        <v>18</v>
      </c>
      <c r="F7" s="11"/>
      <c r="G7" s="11"/>
    </row>
  </sheetData>
  <sheetProtection algorithmName="SHA-512" hashValue="oodkbE66MJIG2HPu0zW06lKx4OaKrsg9+XGbvAx9C8qYdtytobzJsd96kd39j1dPmXhTMH8fNbqq5tZGKfqSxA==" saltValue="gdaUdfI8Glm8uZ4Z7frFlg==" spinCount="100000" sheet="1" objects="1" scenarios="1"/>
  <pageMargins left="0.7" right="0.7" top="0.75" bottom="0.75" header="0.3" footer="0.3"/>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Fertigstellungsgrad</vt:lpstr>
      <vt:lpstr>Source</vt:lpstr>
      <vt:lpstr>Fertigstellungsgrad!Druckbereich</vt:lpstr>
    </vt:vector>
  </TitlesOfParts>
  <Company/>
  <LinksUpToDate>false</LinksUpToDate>
  <SharedDoc>false</SharedDoc>
  <HyperlinkBase>Office 365</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Fertigstellungsgrad</dc:title>
  <dc:creator>Andreas</dc:creator>
  <cp:lastModifiedBy>Dr. Robert Freund</cp:lastModifiedBy>
  <cp:lastPrinted>2022-04-21T14:52:58Z</cp:lastPrinted>
  <dcterms:created xsi:type="dcterms:W3CDTF">2017-04-05T06:34:07Z</dcterms:created>
  <dcterms:modified xsi:type="dcterms:W3CDTF">2022-12-30T11:19:05Z</dcterms:modified>
  <cp:category>Projektmanagement</cp:category>
  <cp:contentStatus>Entwurf</cp:contentStatus>
</cp:coreProperties>
</file>